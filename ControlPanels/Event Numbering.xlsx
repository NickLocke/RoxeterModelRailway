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inerpointslimited-my.sharepoint.com/personal/nick_locke_21jubileepark_com/Documents/Model Railway V2/Documentation/RoxeterDocumentation/ControlPanels/"/>
    </mc:Choice>
  </mc:AlternateContent>
  <xr:revisionPtr revIDLastSave="254" documentId="11_F25DC773A252ABDACC10481819195FD05ADE58F6" xr6:coauthVersionLast="47" xr6:coauthVersionMax="47" xr10:uidLastSave="{287425AE-21A9-41F4-8455-361A89D6F20D}"/>
  <bookViews>
    <workbookView xWindow="31410" yWindow="1500" windowWidth="18225" windowHeight="1378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1" l="1"/>
  <c r="J83" i="1" s="1"/>
  <c r="K83" i="1" s="1"/>
  <c r="G84" i="1"/>
  <c r="H84" i="1"/>
  <c r="J84" i="1"/>
  <c r="K84" i="1"/>
  <c r="G85" i="1"/>
  <c r="J85" i="1" s="1"/>
  <c r="K85" i="1" s="1"/>
  <c r="H85" i="1"/>
  <c r="G86" i="1"/>
  <c r="H86" i="1"/>
  <c r="J86" i="1"/>
  <c r="K86" i="1"/>
  <c r="G87" i="1"/>
  <c r="H87" i="1"/>
  <c r="J87" i="1"/>
  <c r="K87" i="1"/>
  <c r="G88" i="1"/>
  <c r="H88" i="1"/>
  <c r="J88" i="1"/>
  <c r="K88" i="1"/>
  <c r="G89" i="1"/>
  <c r="J89" i="1" s="1"/>
  <c r="K89" i="1" s="1"/>
  <c r="H89" i="1"/>
  <c r="G90" i="1"/>
  <c r="H90" i="1"/>
  <c r="J90" i="1"/>
  <c r="K90" i="1"/>
  <c r="G91" i="1"/>
  <c r="H91" i="1"/>
  <c r="J91" i="1"/>
  <c r="K91" i="1"/>
  <c r="G92" i="1"/>
  <c r="H92" i="1"/>
  <c r="J92" i="1"/>
  <c r="K92" i="1"/>
  <c r="G93" i="1"/>
  <c r="J93" i="1" s="1"/>
  <c r="K93" i="1" s="1"/>
  <c r="H93" i="1"/>
  <c r="G94" i="1"/>
  <c r="H94" i="1"/>
  <c r="J94" i="1"/>
  <c r="K94" i="1"/>
  <c r="G95" i="1"/>
  <c r="H95" i="1"/>
  <c r="J95" i="1"/>
  <c r="K95" i="1"/>
  <c r="G96" i="1"/>
  <c r="H96" i="1"/>
  <c r="J96" i="1"/>
  <c r="K96" i="1"/>
  <c r="G97" i="1"/>
  <c r="J97" i="1" s="1"/>
  <c r="K97" i="1" s="1"/>
  <c r="H97" i="1"/>
  <c r="G98" i="1"/>
  <c r="H98" i="1"/>
  <c r="J98" i="1"/>
  <c r="K98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83" i="1"/>
  <c r="G67" i="1"/>
  <c r="H67" i="1"/>
  <c r="J67" i="1"/>
  <c r="K67" i="1" s="1"/>
  <c r="G68" i="1"/>
  <c r="H68" i="1"/>
  <c r="J68" i="1"/>
  <c r="K68" i="1"/>
  <c r="G69" i="1"/>
  <c r="H69" i="1"/>
  <c r="J69" i="1"/>
  <c r="K69" i="1"/>
  <c r="G70" i="1"/>
  <c r="H70" i="1"/>
  <c r="J70" i="1"/>
  <c r="K70" i="1"/>
  <c r="G71" i="1"/>
  <c r="H71" i="1"/>
  <c r="J71" i="1"/>
  <c r="K71" i="1"/>
  <c r="G72" i="1"/>
  <c r="H72" i="1"/>
  <c r="J72" i="1"/>
  <c r="K72" i="1"/>
  <c r="G73" i="1"/>
  <c r="H73" i="1"/>
  <c r="J73" i="1"/>
  <c r="K73" i="1"/>
  <c r="G74" i="1"/>
  <c r="H74" i="1"/>
  <c r="J74" i="1"/>
  <c r="K74" i="1"/>
  <c r="G75" i="1"/>
  <c r="H75" i="1"/>
  <c r="J75" i="1"/>
  <c r="K75" i="1"/>
  <c r="G76" i="1"/>
  <c r="H76" i="1"/>
  <c r="J76" i="1"/>
  <c r="K76" i="1"/>
  <c r="G77" i="1"/>
  <c r="H77" i="1"/>
  <c r="J77" i="1"/>
  <c r="K77" i="1"/>
  <c r="G78" i="1"/>
  <c r="H78" i="1"/>
  <c r="J78" i="1"/>
  <c r="K78" i="1"/>
  <c r="G79" i="1"/>
  <c r="H79" i="1"/>
  <c r="J79" i="1"/>
  <c r="K79" i="1"/>
  <c r="G80" i="1"/>
  <c r="H80" i="1"/>
  <c r="J80" i="1"/>
  <c r="K80" i="1"/>
  <c r="G81" i="1"/>
  <c r="H81" i="1"/>
  <c r="J81" i="1"/>
  <c r="K81" i="1"/>
  <c r="G82" i="1"/>
  <c r="H82" i="1"/>
  <c r="J82" i="1"/>
  <c r="K82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67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3" i="1"/>
  <c r="J6" i="2"/>
  <c r="J7" i="2"/>
  <c r="J8" i="2"/>
  <c r="J9" i="2"/>
  <c r="J10" i="2"/>
  <c r="J11" i="2"/>
  <c r="J12" i="2"/>
  <c r="J5" i="2"/>
  <c r="H6" i="2"/>
  <c r="H7" i="2"/>
  <c r="H8" i="2"/>
  <c r="H9" i="2"/>
  <c r="H10" i="2"/>
  <c r="H11" i="2"/>
  <c r="H12" i="2"/>
  <c r="H5" i="2"/>
  <c r="H62" i="1"/>
  <c r="H66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G63" i="1"/>
  <c r="H63" i="1" s="1"/>
  <c r="G64" i="1"/>
  <c r="H64" i="1" s="1"/>
  <c r="G65" i="1"/>
  <c r="H65" i="1" s="1"/>
  <c r="G66" i="1"/>
  <c r="G3" i="1"/>
  <c r="H3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3" i="1"/>
  <c r="H83" i="1" l="1"/>
</calcChain>
</file>

<file path=xl/sharedStrings.xml><?xml version="1.0" encoding="utf-8"?>
<sst xmlns="http://schemas.openxmlformats.org/spreadsheetml/2006/main" count="209" uniqueCount="91">
  <si>
    <t>Event Groups</t>
  </si>
  <si>
    <t>Number</t>
  </si>
  <si>
    <t>Name</t>
  </si>
  <si>
    <t>Event Types</t>
  </si>
  <si>
    <t>Signal</t>
  </si>
  <si>
    <t>Point</t>
  </si>
  <si>
    <t>Occupancy</t>
  </si>
  <si>
    <t>Panel</t>
  </si>
  <si>
    <t>Red</t>
  </si>
  <si>
    <t>Yellow</t>
  </si>
  <si>
    <t>Green</t>
  </si>
  <si>
    <t>Subsidiary</t>
  </si>
  <si>
    <t>Feather Left 1</t>
  </si>
  <si>
    <t>Feather Left 2</t>
  </si>
  <si>
    <t>Feather Right 1</t>
  </si>
  <si>
    <t>Feather Right 2</t>
  </si>
  <si>
    <t>Feather None</t>
  </si>
  <si>
    <t>Spare 9</t>
  </si>
  <si>
    <t>Spare A</t>
  </si>
  <si>
    <t>Spare B</t>
  </si>
  <si>
    <t>Spare C</t>
  </si>
  <si>
    <t>Spare D</t>
  </si>
  <si>
    <t>Spare E</t>
  </si>
  <si>
    <t>Spare F</t>
  </si>
  <si>
    <t>Request Movement</t>
  </si>
  <si>
    <t>Normal Indication</t>
  </si>
  <si>
    <t>Reverse Indication</t>
  </si>
  <si>
    <t>Locked Indication</t>
  </si>
  <si>
    <t>OoC Indication</t>
  </si>
  <si>
    <t>Spare 5</t>
  </si>
  <si>
    <t>Spare 6</t>
  </si>
  <si>
    <t>Spare 7</t>
  </si>
  <si>
    <t>Spare 8</t>
  </si>
  <si>
    <t>Clear</t>
  </si>
  <si>
    <t>Flood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</si>
  <si>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</si>
  <si>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</si>
  <si>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</si>
  <si>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</si>
  <si>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</si>
  <si>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</si>
  <si>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</si>
  <si>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</si>
  <si>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</si>
  <si>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</si>
  <si>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</si>
  <si>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</si>
  <si>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</si>
  <si>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</si>
  <si>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</si>
  <si>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</si>
  <si>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Tenth</t>
  </si>
  <si>
    <t>Ninth</t>
  </si>
  <si>
    <t>Eleventh</t>
  </si>
  <si>
    <t>Twelfth</t>
  </si>
  <si>
    <t>Thirteenth</t>
  </si>
  <si>
    <t>Fourteenth</t>
  </si>
  <si>
    <t>Fifteenth</t>
  </si>
  <si>
    <t>Sixteenth</t>
  </si>
  <si>
    <t>Combined</t>
  </si>
  <si>
    <t>Decimal</t>
  </si>
  <si>
    <t>Hex</t>
  </si>
  <si>
    <t>Group</t>
  </si>
  <si>
    <t>Sub Group</t>
  </si>
  <si>
    <t>Event</t>
  </si>
  <si>
    <t>Result</t>
  </si>
  <si>
    <t>Type</t>
  </si>
  <si>
    <t>As High Byte</t>
  </si>
  <si>
    <t>Request Status</t>
  </si>
  <si>
    <t>Accessory</t>
  </si>
  <si>
    <t>Railway Light</t>
  </si>
  <si>
    <t>General Light</t>
  </si>
  <si>
    <t>Sound Effect</t>
  </si>
  <si>
    <t>Long Line Public Address</t>
  </si>
  <si>
    <t>Station Announcement</t>
  </si>
  <si>
    <t>Route</t>
  </si>
  <si>
    <t>Clear route</t>
  </si>
  <si>
    <t>Set segment A</t>
  </si>
  <si>
    <t>Set segment B</t>
  </si>
  <si>
    <t>Set segment C</t>
  </si>
  <si>
    <t>Set segment D</t>
  </si>
  <si>
    <t>Set segment E</t>
  </si>
  <si>
    <t>Set segment F</t>
  </si>
  <si>
    <t>Set segment G</t>
  </si>
  <si>
    <t>Set segment H</t>
  </si>
  <si>
    <t>Spare 10</t>
  </si>
  <si>
    <t>Spare 11</t>
  </si>
  <si>
    <t>Spare 12</t>
  </si>
  <si>
    <t>Spare 13</t>
  </si>
  <si>
    <t>Spare 14</t>
  </si>
  <si>
    <t>Spare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</si>
</sst>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workbookViewId="0">
      <pane ySplit="2" topLeftCell="A13" activePane="bottomLeft" state="frozen"/>
      <selection pane="bottomLeft" activeCell="J20" sqref="J20"/>
    </sheetView>
  </sheetViews>
  <sheetFormatPr defaultRowHeight="15" x14ac:dyDescent="0.25"/>
  <cols>
    <col min="1" max="2" width="9.140625" style="3"/>
    <col min="3" max="3" width="14" style="3" customWidth="1"/>
    <col min="4" max="5" width="9.140625" style="3"/>
    <col min="6" max="6" width="23.140625" style="3" bestFit="1" customWidth="1"/>
    <col min="7" max="7" width="12.28515625" style="3" customWidth="1"/>
    <col min="8" max="15" width="9.140625" style="3"/>
  </cols>
  <sheetData>
    <row r="1" spans="1:15" s="1" customFormat="1" x14ac:dyDescent="0.25">
      <c r="A1" s="2" t="s">
        <v>0</v>
      </c>
      <c r="B1" s="2"/>
      <c r="C1" s="2"/>
      <c r="D1" s="2" t="s">
        <v>3</v>
      </c>
      <c r="E1" s="2"/>
      <c r="F1" s="2"/>
      <c r="G1" s="2" t="s">
        <v>59</v>
      </c>
      <c r="H1" s="2"/>
      <c r="I1" s="2"/>
      <c r="J1" s="2" t="s">
        <v>67</v>
      </c>
      <c r="K1" s="2"/>
      <c r="L1" s="2"/>
      <c r="M1" s="2"/>
      <c r="N1" s="2"/>
      <c r="O1" s="2"/>
    </row>
    <row r="2" spans="1:15" s="1" customFormat="1" x14ac:dyDescent="0.25">
      <c r="A2" s="2" t="s">
        <v>1</v>
      </c>
      <c r="B2" s="2"/>
      <c r="C2" s="2" t="s">
        <v>2</v>
      </c>
      <c r="D2" s="2" t="s">
        <v>1</v>
      </c>
      <c r="E2" s="2"/>
      <c r="F2" s="2" t="s">
        <v>2</v>
      </c>
      <c r="G2" s="1" t="s">
        <v>60</v>
      </c>
      <c r="H2" s="2" t="s">
        <v>61</v>
      </c>
      <c r="I2" s="2"/>
      <c r="J2" s="2" t="s">
        <v>60</v>
      </c>
      <c r="K2" s="2" t="s">
        <v>61</v>
      </c>
      <c r="L2" s="2"/>
      <c r="M2" s="2"/>
      <c r="N2" s="2"/>
      <c r="O2" s="2"/>
    </row>
    <row r="3" spans="1:15" x14ac:dyDescent="0.25">
      <c r="A3" s="3">
        <v>0</v>
      </c>
      <c r="B3" s="3" t="str">
        <f>"0x" &amp; DEC2HEX(A3, 2)</f>
        <v>0x00</v>
      </c>
      <c r="C3" s="3" t="s">
        <v>4</v>
      </c>
      <c r="D3" s="3">
        <v>0</v>
      </c>
      <c r="E3" s="3" t="str">
        <f>"0x" &amp; DEC2HEX(D3, 2)</f>
        <v>0x00</v>
      </c>
      <c r="F3" s="3" t="s">
        <v>8</v>
      </c>
      <c r="G3" s="3">
        <f>A3*16+D3</f>
        <v>0</v>
      </c>
      <c r="H3" s="3" t="str">
        <f>"0x" &amp; DEC2HEX(G3, 2)</f>
        <v>0x00</v>
      </c>
      <c r="J3" s="3">
        <f>G3*256</f>
        <v>0</v>
      </c>
      <c r="K3" s="3" t="str">
        <f>"0x"&amp;DEC2HEX(J3,4)</f>
        <v>0x0000</v>
      </c>
    </row>
    <row r="4" spans="1:15" x14ac:dyDescent="0.25">
      <c r="A4" s="3">
        <v>0</v>
      </c>
      <c r="B4" s="3" t="str">
        <f t="shared" ref="B4:B68" si="0">"0x" &amp; DEC2HEX(A4, 2)</f>
        <v>0x00</v>
      </c>
      <c r="C4" s="3" t="s">
        <v>4</v>
      </c>
      <c r="D4" s="3">
        <v>1</v>
      </c>
      <c r="E4" s="3" t="str">
        <f t="shared" ref="E4:E67" si="1">"0x" &amp; DEC2HEX(D4, 2)</f>
        <v>0x01</v>
      </c>
      <c r="F4" s="3" t="s">
        <v>9</v>
      </c>
      <c r="G4" s="3">
        <f t="shared" ref="G4:G66" si="2">A4*16+D4</f>
        <v>1</v>
      </c>
      <c r="H4" s="3" t="str">
        <f t="shared" ref="H4:H66" si="3">"0x" &amp; DEC2HEX(G4, 2)</f>
        <v>0x01</v>
      </c>
      <c r="J4" s="3">
        <f t="shared" ref="J4:J66" si="4">G4*256</f>
        <v>256</v>
      </c>
      <c r="K4" s="3" t="str">
        <f t="shared" ref="K4:K66" si="5">"0x"&amp;DEC2HEX(J4,4)</f>
        <v>0x0100</v>
      </c>
    </row>
    <row r="5" spans="1:15" x14ac:dyDescent="0.25">
      <c r="A5" s="3">
        <v>0</v>
      </c>
      <c r="B5" s="3" t="str">
        <f t="shared" si="0"/>
        <v>0x00</v>
      </c>
      <c r="C5" s="3" t="s">
        <v>4</v>
      </c>
      <c r="D5" s="3">
        <v>2</v>
      </c>
      <c r="E5" s="3" t="str">
        <f t="shared" si="1"/>
        <v>0x02</v>
      </c>
      <c r="F5" s="3" t="s">
        <v>10</v>
      </c>
      <c r="G5" s="3">
        <f t="shared" si="2"/>
        <v>2</v>
      </c>
      <c r="H5" s="3" t="str">
        <f t="shared" si="3"/>
        <v>0x02</v>
      </c>
      <c r="J5" s="3">
        <f t="shared" si="4"/>
        <v>512</v>
      </c>
      <c r="K5" s="3" t="str">
        <f t="shared" si="5"/>
        <v>0x0200</v>
      </c>
    </row>
    <row r="6" spans="1:15" x14ac:dyDescent="0.25">
      <c r="A6" s="3">
        <v>0</v>
      </c>
      <c r="B6" s="3" t="str">
        <f t="shared" si="0"/>
        <v>0x00</v>
      </c>
      <c r="C6" s="3" t="s">
        <v>4</v>
      </c>
      <c r="D6" s="3">
        <v>3</v>
      </c>
      <c r="E6" s="3" t="str">
        <f t="shared" si="1"/>
        <v>0x03</v>
      </c>
      <c r="F6" s="3" t="s">
        <v>11</v>
      </c>
      <c r="G6" s="3">
        <f t="shared" si="2"/>
        <v>3</v>
      </c>
      <c r="H6" s="3" t="str">
        <f t="shared" si="3"/>
        <v>0x03</v>
      </c>
      <c r="J6" s="3">
        <f t="shared" si="4"/>
        <v>768</v>
      </c>
      <c r="K6" s="3" t="str">
        <f t="shared" si="5"/>
        <v>0x0300</v>
      </c>
    </row>
    <row r="7" spans="1:15" x14ac:dyDescent="0.25">
      <c r="A7" s="3">
        <v>0</v>
      </c>
      <c r="B7" s="3" t="str">
        <f t="shared" si="0"/>
        <v>0x00</v>
      </c>
      <c r="C7" s="3" t="s">
        <v>4</v>
      </c>
      <c r="D7" s="3">
        <v>4</v>
      </c>
      <c r="E7" s="3" t="str">
        <f t="shared" si="1"/>
        <v>0x04</v>
      </c>
      <c r="F7" s="3" t="s">
        <v>12</v>
      </c>
      <c r="G7" s="3">
        <f t="shared" si="2"/>
        <v>4</v>
      </c>
      <c r="H7" s="3" t="str">
        <f t="shared" si="3"/>
        <v>0x04</v>
      </c>
      <c r="J7" s="3">
        <f t="shared" si="4"/>
        <v>1024</v>
      </c>
      <c r="K7" s="3" t="str">
        <f t="shared" si="5"/>
        <v>0x0400</v>
      </c>
    </row>
    <row r="8" spans="1:15" x14ac:dyDescent="0.25">
      <c r="A8" s="3">
        <v>0</v>
      </c>
      <c r="B8" s="3" t="str">
        <f t="shared" si="0"/>
        <v>0x00</v>
      </c>
      <c r="C8" s="3" t="s">
        <v>4</v>
      </c>
      <c r="D8" s="3">
        <v>5</v>
      </c>
      <c r="E8" s="3" t="str">
        <f t="shared" si="1"/>
        <v>0x05</v>
      </c>
      <c r="F8" s="3" t="s">
        <v>13</v>
      </c>
      <c r="G8" s="3">
        <f t="shared" si="2"/>
        <v>5</v>
      </c>
      <c r="H8" s="3" t="str">
        <f t="shared" si="3"/>
        <v>0x05</v>
      </c>
      <c r="J8" s="3">
        <f t="shared" si="4"/>
        <v>1280</v>
      </c>
      <c r="K8" s="3" t="str">
        <f t="shared" si="5"/>
        <v>0x0500</v>
      </c>
    </row>
    <row r="9" spans="1:15" x14ac:dyDescent="0.25">
      <c r="A9" s="3">
        <v>0</v>
      </c>
      <c r="B9" s="3" t="str">
        <f t="shared" si="0"/>
        <v>0x00</v>
      </c>
      <c r="C9" s="3" t="s">
        <v>4</v>
      </c>
      <c r="D9" s="3">
        <v>6</v>
      </c>
      <c r="E9" s="3" t="str">
        <f t="shared" si="1"/>
        <v>0x06</v>
      </c>
      <c r="F9" s="3" t="s">
        <v>14</v>
      </c>
      <c r="G9" s="3">
        <f t="shared" si="2"/>
        <v>6</v>
      </c>
      <c r="H9" s="3" t="str">
        <f t="shared" si="3"/>
        <v>0x06</v>
      </c>
      <c r="J9" s="3">
        <f t="shared" si="4"/>
        <v>1536</v>
      </c>
      <c r="K9" s="3" t="str">
        <f t="shared" si="5"/>
        <v>0x0600</v>
      </c>
    </row>
    <row r="10" spans="1:15" x14ac:dyDescent="0.25">
      <c r="A10" s="3">
        <v>0</v>
      </c>
      <c r="B10" s="3" t="str">
        <f t="shared" si="0"/>
        <v>0x00</v>
      </c>
      <c r="C10" s="3" t="s">
        <v>4</v>
      </c>
      <c r="D10" s="3">
        <v>7</v>
      </c>
      <c r="E10" s="3" t="str">
        <f t="shared" si="1"/>
        <v>0x07</v>
      </c>
      <c r="F10" s="3" t="s">
        <v>15</v>
      </c>
      <c r="G10" s="3">
        <f t="shared" si="2"/>
        <v>7</v>
      </c>
      <c r="H10" s="3" t="str">
        <f t="shared" si="3"/>
        <v>0x07</v>
      </c>
      <c r="J10" s="3">
        <f t="shared" si="4"/>
        <v>1792</v>
      </c>
      <c r="K10" s="3" t="str">
        <f t="shared" si="5"/>
        <v>0x0700</v>
      </c>
    </row>
    <row r="11" spans="1:15" x14ac:dyDescent="0.25">
      <c r="A11" s="3">
        <v>0</v>
      </c>
      <c r="B11" s="3" t="str">
        <f t="shared" si="0"/>
        <v>0x00</v>
      </c>
      <c r="C11" s="3" t="s">
        <v>4</v>
      </c>
      <c r="D11" s="3">
        <v>8</v>
      </c>
      <c r="E11" s="3" t="str">
        <f t="shared" si="1"/>
        <v>0x08</v>
      </c>
      <c r="F11" s="3" t="s">
        <v>16</v>
      </c>
      <c r="G11" s="3">
        <f t="shared" si="2"/>
        <v>8</v>
      </c>
      <c r="H11" s="3" t="str">
        <f t="shared" si="3"/>
        <v>0x08</v>
      </c>
      <c r="J11" s="3">
        <f t="shared" si="4"/>
        <v>2048</v>
      </c>
      <c r="K11" s="3" t="str">
        <f t="shared" si="5"/>
        <v>0x0800</v>
      </c>
    </row>
    <row r="12" spans="1:15" x14ac:dyDescent="0.25">
      <c r="A12" s="3">
        <v>0</v>
      </c>
      <c r="B12" s="3" t="str">
        <f t="shared" si="0"/>
        <v>0x00</v>
      </c>
      <c r="C12" s="3" t="s">
        <v>4</v>
      </c>
      <c r="D12" s="3">
        <v>9</v>
      </c>
      <c r="E12" s="3" t="str">
        <f t="shared" si="1"/>
        <v>0x09</v>
      </c>
      <c r="F12" s="3" t="s">
        <v>17</v>
      </c>
      <c r="G12" s="3">
        <f t="shared" si="2"/>
        <v>9</v>
      </c>
      <c r="H12" s="3" t="str">
        <f t="shared" si="3"/>
        <v>0x09</v>
      </c>
      <c r="J12" s="3">
        <f t="shared" si="4"/>
        <v>2304</v>
      </c>
      <c r="K12" s="3" t="str">
        <f t="shared" si="5"/>
        <v>0x0900</v>
      </c>
    </row>
    <row r="13" spans="1:15" x14ac:dyDescent="0.25">
      <c r="A13" s="3">
        <v>0</v>
      </c>
      <c r="B13" s="3" t="str">
        <f t="shared" si="0"/>
        <v>0x00</v>
      </c>
      <c r="C13" s="3" t="s">
        <v>4</v>
      </c>
      <c r="D13" s="3">
        <v>10</v>
      </c>
      <c r="E13" s="3" t="str">
        <f t="shared" si="1"/>
        <v>0x0A</v>
      </c>
      <c r="F13" s="3" t="s">
        <v>18</v>
      </c>
      <c r="G13" s="3">
        <f t="shared" si="2"/>
        <v>10</v>
      </c>
      <c r="H13" s="3" t="str">
        <f t="shared" si="3"/>
        <v>0x0A</v>
      </c>
      <c r="J13" s="3">
        <f t="shared" si="4"/>
        <v>2560</v>
      </c>
      <c r="K13" s="3" t="str">
        <f t="shared" si="5"/>
        <v>0x0A00</v>
      </c>
    </row>
    <row r="14" spans="1:15" x14ac:dyDescent="0.25">
      <c r="A14" s="3">
        <v>0</v>
      </c>
      <c r="B14" s="3" t="str">
        <f t="shared" si="0"/>
        <v>0x00</v>
      </c>
      <c r="C14" s="3" t="s">
        <v>4</v>
      </c>
      <c r="D14" s="3">
        <v>11</v>
      </c>
      <c r="E14" s="3" t="str">
        <f t="shared" si="1"/>
        <v>0x0B</v>
      </c>
      <c r="F14" s="3" t="s">
        <v>19</v>
      </c>
      <c r="G14" s="3">
        <f t="shared" si="2"/>
        <v>11</v>
      </c>
      <c r="H14" s="3" t="str">
        <f t="shared" si="3"/>
        <v>0x0B</v>
      </c>
      <c r="J14" s="3">
        <f t="shared" si="4"/>
        <v>2816</v>
      </c>
      <c r="K14" s="3" t="str">
        <f t="shared" si="5"/>
        <v>0x0B00</v>
      </c>
    </row>
    <row r="15" spans="1:15" x14ac:dyDescent="0.25">
      <c r="A15" s="3">
        <v>0</v>
      </c>
      <c r="B15" s="3" t="str">
        <f t="shared" si="0"/>
        <v>0x00</v>
      </c>
      <c r="C15" s="3" t="s">
        <v>4</v>
      </c>
      <c r="D15" s="3">
        <v>12</v>
      </c>
      <c r="E15" s="3" t="str">
        <f t="shared" si="1"/>
        <v>0x0C</v>
      </c>
      <c r="F15" s="3" t="s">
        <v>20</v>
      </c>
      <c r="G15" s="3">
        <f t="shared" si="2"/>
        <v>12</v>
      </c>
      <c r="H15" s="3" t="str">
        <f t="shared" si="3"/>
        <v>0x0C</v>
      </c>
      <c r="J15" s="3">
        <f t="shared" si="4"/>
        <v>3072</v>
      </c>
      <c r="K15" s="3" t="str">
        <f t="shared" si="5"/>
        <v>0x0C00</v>
      </c>
    </row>
    <row r="16" spans="1:15" x14ac:dyDescent="0.25">
      <c r="A16" s="3">
        <v>0</v>
      </c>
      <c r="B16" s="3" t="str">
        <f t="shared" si="0"/>
        <v>0x00</v>
      </c>
      <c r="C16" s="3" t="s">
        <v>4</v>
      </c>
      <c r="D16" s="3">
        <v>13</v>
      </c>
      <c r="E16" s="3" t="str">
        <f t="shared" si="1"/>
        <v>0x0D</v>
      </c>
      <c r="F16" s="3" t="s">
        <v>21</v>
      </c>
      <c r="G16" s="3">
        <f t="shared" si="2"/>
        <v>13</v>
      </c>
      <c r="H16" s="3" t="str">
        <f t="shared" si="3"/>
        <v>0x0D</v>
      </c>
      <c r="J16" s="3">
        <f t="shared" si="4"/>
        <v>3328</v>
      </c>
      <c r="K16" s="3" t="str">
        <f t="shared" si="5"/>
        <v>0x0D00</v>
      </c>
    </row>
    <row r="17" spans="1:11" x14ac:dyDescent="0.25">
      <c r="A17" s="3">
        <v>0</v>
      </c>
      <c r="B17" s="3" t="str">
        <f t="shared" si="0"/>
        <v>0x00</v>
      </c>
      <c r="C17" s="3" t="s">
        <v>4</v>
      </c>
      <c r="D17" s="3">
        <v>14</v>
      </c>
      <c r="E17" s="3" t="str">
        <f t="shared" si="1"/>
        <v>0x0E</v>
      </c>
      <c r="F17" s="3" t="s">
        <v>22</v>
      </c>
      <c r="G17" s="3">
        <f t="shared" si="2"/>
        <v>14</v>
      </c>
      <c r="H17" s="3" t="str">
        <f t="shared" si="3"/>
        <v>0x0E</v>
      </c>
      <c r="J17" s="3">
        <f t="shared" si="4"/>
        <v>3584</v>
      </c>
      <c r="K17" s="3" t="str">
        <f t="shared" si="5"/>
        <v>0x0E00</v>
      </c>
    </row>
    <row r="18" spans="1:11" x14ac:dyDescent="0.25">
      <c r="A18" s="3">
        <v>0</v>
      </c>
      <c r="B18" s="3" t="str">
        <f t="shared" si="0"/>
        <v>0x00</v>
      </c>
      <c r="C18" s="3" t="s">
        <v>4</v>
      </c>
      <c r="D18" s="3">
        <v>15</v>
      </c>
      <c r="E18" s="3" t="str">
        <f t="shared" si="1"/>
        <v>0x0F</v>
      </c>
      <c r="F18" s="3" t="s">
        <v>23</v>
      </c>
      <c r="G18" s="3">
        <f t="shared" si="2"/>
        <v>15</v>
      </c>
      <c r="H18" s="3" t="str">
        <f t="shared" si="3"/>
        <v>0x0F</v>
      </c>
      <c r="J18" s="3">
        <f t="shared" si="4"/>
        <v>3840</v>
      </c>
      <c r="K18" s="3" t="str">
        <f t="shared" si="5"/>
        <v>0x0F00</v>
      </c>
    </row>
    <row r="19" spans="1:11" x14ac:dyDescent="0.25">
      <c r="A19" s="3">
        <v>1</v>
      </c>
      <c r="B19" s="3" t="str">
        <f t="shared" si="0"/>
        <v>0x01</v>
      </c>
      <c r="C19" s="3" t="s">
        <v>5</v>
      </c>
      <c r="D19" s="3">
        <v>0</v>
      </c>
      <c r="E19" s="3" t="str">
        <f t="shared" si="1"/>
        <v>0x00</v>
      </c>
      <c r="F19" s="3" t="s">
        <v>24</v>
      </c>
      <c r="G19" s="3">
        <f t="shared" si="2"/>
        <v>16</v>
      </c>
      <c r="H19" s="3" t="str">
        <f t="shared" si="3"/>
        <v>0x10</v>
      </c>
      <c r="J19" s="3">
        <f t="shared" si="4"/>
        <v>4096</v>
      </c>
      <c r="K19" s="3" t="str">
        <f t="shared" si="5"/>
        <v>0x1000</v>
      </c>
    </row>
    <row r="20" spans="1:11" x14ac:dyDescent="0.25">
      <c r="A20" s="3">
        <v>1</v>
      </c>
      <c r="B20" s="3" t="str">
        <f t="shared" si="0"/>
        <v>0x01</v>
      </c>
      <c r="C20" s="3" t="s">
        <v>5</v>
      </c>
      <c r="D20" s="3">
        <v>1</v>
      </c>
      <c r="E20" s="3" t="str">
        <f t="shared" si="1"/>
        <v>0x01</v>
      </c>
      <c r="F20" s="3" t="s">
        <v>25</v>
      </c>
      <c r="G20" s="3">
        <f t="shared" si="2"/>
        <v>17</v>
      </c>
      <c r="H20" s="3" t="str">
        <f t="shared" si="3"/>
        <v>0x11</v>
      </c>
      <c r="J20" s="3">
        <f t="shared" si="4"/>
        <v>4352</v>
      </c>
      <c r="K20" s="3" t="str">
        <f t="shared" si="5"/>
        <v>0x1100</v>
      </c>
    </row>
    <row r="21" spans="1:11" x14ac:dyDescent="0.25">
      <c r="A21" s="3">
        <v>1</v>
      </c>
      <c r="B21" s="3" t="str">
        <f t="shared" si="0"/>
        <v>0x01</v>
      </c>
      <c r="C21" s="3" t="s">
        <v>5</v>
      </c>
      <c r="D21" s="3">
        <v>2</v>
      </c>
      <c r="E21" s="3" t="str">
        <f t="shared" si="1"/>
        <v>0x02</v>
      </c>
      <c r="F21" s="3" t="s">
        <v>26</v>
      </c>
      <c r="G21" s="3">
        <f t="shared" si="2"/>
        <v>18</v>
      </c>
      <c r="H21" s="3" t="str">
        <f t="shared" si="3"/>
        <v>0x12</v>
      </c>
      <c r="J21" s="3">
        <f t="shared" si="4"/>
        <v>4608</v>
      </c>
      <c r="K21" s="3" t="str">
        <f t="shared" si="5"/>
        <v>0x1200</v>
      </c>
    </row>
    <row r="22" spans="1:11" x14ac:dyDescent="0.25">
      <c r="A22" s="3">
        <v>1</v>
      </c>
      <c r="B22" s="3" t="str">
        <f t="shared" si="0"/>
        <v>0x01</v>
      </c>
      <c r="C22" s="3" t="s">
        <v>5</v>
      </c>
      <c r="D22" s="3">
        <v>3</v>
      </c>
      <c r="E22" s="3" t="str">
        <f t="shared" si="1"/>
        <v>0x03</v>
      </c>
      <c r="F22" s="3" t="s">
        <v>27</v>
      </c>
      <c r="G22" s="3">
        <f t="shared" si="2"/>
        <v>19</v>
      </c>
      <c r="H22" s="3" t="str">
        <f t="shared" si="3"/>
        <v>0x13</v>
      </c>
      <c r="J22" s="3">
        <f t="shared" si="4"/>
        <v>4864</v>
      </c>
      <c r="K22" s="3" t="str">
        <f t="shared" si="5"/>
        <v>0x1300</v>
      </c>
    </row>
    <row r="23" spans="1:11" x14ac:dyDescent="0.25">
      <c r="A23" s="3">
        <v>1</v>
      </c>
      <c r="B23" s="3" t="str">
        <f t="shared" si="0"/>
        <v>0x01</v>
      </c>
      <c r="C23" s="3" t="s">
        <v>5</v>
      </c>
      <c r="D23" s="3">
        <v>4</v>
      </c>
      <c r="E23" s="3" t="str">
        <f t="shared" si="1"/>
        <v>0x04</v>
      </c>
      <c r="F23" s="3" t="s">
        <v>28</v>
      </c>
      <c r="G23" s="3">
        <f t="shared" si="2"/>
        <v>20</v>
      </c>
      <c r="H23" s="3" t="str">
        <f t="shared" si="3"/>
        <v>0x14</v>
      </c>
      <c r="J23" s="3">
        <f t="shared" si="4"/>
        <v>5120</v>
      </c>
      <c r="K23" s="3" t="str">
        <f t="shared" si="5"/>
        <v>0x1400</v>
      </c>
    </row>
    <row r="24" spans="1:11" x14ac:dyDescent="0.25">
      <c r="A24" s="3">
        <v>1</v>
      </c>
      <c r="B24" s="3" t="str">
        <f t="shared" si="0"/>
        <v>0x01</v>
      </c>
      <c r="C24" s="3" t="s">
        <v>5</v>
      </c>
      <c r="D24" s="3">
        <v>5</v>
      </c>
      <c r="E24" s="3" t="str">
        <f t="shared" si="1"/>
        <v>0x05</v>
      </c>
      <c r="F24" s="3" t="s">
        <v>29</v>
      </c>
      <c r="G24" s="3">
        <f t="shared" si="2"/>
        <v>21</v>
      </c>
      <c r="H24" s="3" t="str">
        <f t="shared" si="3"/>
        <v>0x15</v>
      </c>
      <c r="J24" s="3">
        <f t="shared" si="4"/>
        <v>5376</v>
      </c>
      <c r="K24" s="3" t="str">
        <f t="shared" si="5"/>
        <v>0x1500</v>
      </c>
    </row>
    <row r="25" spans="1:11" x14ac:dyDescent="0.25">
      <c r="A25" s="3">
        <v>1</v>
      </c>
      <c r="B25" s="3" t="str">
        <f t="shared" si="0"/>
        <v>0x01</v>
      </c>
      <c r="C25" s="3" t="s">
        <v>5</v>
      </c>
      <c r="D25" s="3">
        <v>6</v>
      </c>
      <c r="E25" s="3" t="str">
        <f t="shared" si="1"/>
        <v>0x06</v>
      </c>
      <c r="F25" s="3" t="s">
        <v>30</v>
      </c>
      <c r="G25" s="3">
        <f t="shared" si="2"/>
        <v>22</v>
      </c>
      <c r="H25" s="3" t="str">
        <f t="shared" si="3"/>
        <v>0x16</v>
      </c>
      <c r="J25" s="3">
        <f t="shared" si="4"/>
        <v>5632</v>
      </c>
      <c r="K25" s="3" t="str">
        <f t="shared" si="5"/>
        <v>0x1600</v>
      </c>
    </row>
    <row r="26" spans="1:11" x14ac:dyDescent="0.25">
      <c r="A26" s="3">
        <v>1</v>
      </c>
      <c r="B26" s="3" t="str">
        <f t="shared" si="0"/>
        <v>0x01</v>
      </c>
      <c r="C26" s="3" t="s">
        <v>5</v>
      </c>
      <c r="D26" s="3">
        <v>7</v>
      </c>
      <c r="E26" s="3" t="str">
        <f t="shared" si="1"/>
        <v>0x07</v>
      </c>
      <c r="F26" s="3" t="s">
        <v>31</v>
      </c>
      <c r="G26" s="3">
        <f t="shared" si="2"/>
        <v>23</v>
      </c>
      <c r="H26" s="3" t="str">
        <f t="shared" si="3"/>
        <v>0x17</v>
      </c>
      <c r="J26" s="3">
        <f t="shared" si="4"/>
        <v>5888</v>
      </c>
      <c r="K26" s="3" t="str">
        <f t="shared" si="5"/>
        <v>0x1700</v>
      </c>
    </row>
    <row r="27" spans="1:11" x14ac:dyDescent="0.25">
      <c r="A27" s="3">
        <v>1</v>
      </c>
      <c r="B27" s="3" t="str">
        <f t="shared" si="0"/>
        <v>0x01</v>
      </c>
      <c r="C27" s="3" t="s">
        <v>5</v>
      </c>
      <c r="D27" s="3">
        <v>8</v>
      </c>
      <c r="E27" s="3" t="str">
        <f t="shared" si="1"/>
        <v>0x08</v>
      </c>
      <c r="F27" s="3" t="s">
        <v>32</v>
      </c>
      <c r="G27" s="3">
        <f t="shared" si="2"/>
        <v>24</v>
      </c>
      <c r="H27" s="3" t="str">
        <f t="shared" si="3"/>
        <v>0x18</v>
      </c>
      <c r="J27" s="3">
        <f t="shared" si="4"/>
        <v>6144</v>
      </c>
      <c r="K27" s="3" t="str">
        <f t="shared" si="5"/>
        <v>0x1800</v>
      </c>
    </row>
    <row r="28" spans="1:11" x14ac:dyDescent="0.25">
      <c r="A28" s="3">
        <v>1</v>
      </c>
      <c r="B28" s="3" t="str">
        <f t="shared" si="0"/>
        <v>0x01</v>
      </c>
      <c r="C28" s="3" t="s">
        <v>5</v>
      </c>
      <c r="D28" s="3">
        <v>9</v>
      </c>
      <c r="E28" s="3" t="str">
        <f t="shared" si="1"/>
        <v>0x09</v>
      </c>
      <c r="F28" s="3" t="s">
        <v>17</v>
      </c>
      <c r="G28" s="3">
        <f t="shared" si="2"/>
        <v>25</v>
      </c>
      <c r="H28" s="3" t="str">
        <f t="shared" si="3"/>
        <v>0x19</v>
      </c>
      <c r="J28" s="3">
        <f t="shared" si="4"/>
        <v>6400</v>
      </c>
      <c r="K28" s="3" t="str">
        <f t="shared" si="5"/>
        <v>0x1900</v>
      </c>
    </row>
    <row r="29" spans="1:11" x14ac:dyDescent="0.25">
      <c r="A29" s="3">
        <v>1</v>
      </c>
      <c r="B29" s="3" t="str">
        <f t="shared" si="0"/>
        <v>0x01</v>
      </c>
      <c r="C29" s="3" t="s">
        <v>5</v>
      </c>
      <c r="D29" s="3">
        <v>10</v>
      </c>
      <c r="E29" s="3" t="str">
        <f t="shared" si="1"/>
        <v>0x0A</v>
      </c>
      <c r="F29" s="3" t="s">
        <v>18</v>
      </c>
      <c r="G29" s="3">
        <f t="shared" si="2"/>
        <v>26</v>
      </c>
      <c r="H29" s="3" t="str">
        <f t="shared" si="3"/>
        <v>0x1A</v>
      </c>
      <c r="J29" s="3">
        <f t="shared" si="4"/>
        <v>6656</v>
      </c>
      <c r="K29" s="3" t="str">
        <f t="shared" si="5"/>
        <v>0x1A00</v>
      </c>
    </row>
    <row r="30" spans="1:11" x14ac:dyDescent="0.25">
      <c r="A30" s="3">
        <v>1</v>
      </c>
      <c r="B30" s="3" t="str">
        <f t="shared" si="0"/>
        <v>0x01</v>
      </c>
      <c r="C30" s="3" t="s">
        <v>5</v>
      </c>
      <c r="D30" s="3">
        <v>11</v>
      </c>
      <c r="E30" s="3" t="str">
        <f t="shared" si="1"/>
        <v>0x0B</v>
      </c>
      <c r="F30" s="3" t="s">
        <v>19</v>
      </c>
      <c r="G30" s="3">
        <f t="shared" si="2"/>
        <v>27</v>
      </c>
      <c r="H30" s="3" t="str">
        <f t="shared" si="3"/>
        <v>0x1B</v>
      </c>
      <c r="J30" s="3">
        <f t="shared" si="4"/>
        <v>6912</v>
      </c>
      <c r="K30" s="3" t="str">
        <f t="shared" si="5"/>
        <v>0x1B00</v>
      </c>
    </row>
    <row r="31" spans="1:11" x14ac:dyDescent="0.25">
      <c r="A31" s="3">
        <v>1</v>
      </c>
      <c r="B31" s="3" t="str">
        <f t="shared" si="0"/>
        <v>0x01</v>
      </c>
      <c r="C31" s="3" t="s">
        <v>5</v>
      </c>
      <c r="D31" s="3">
        <v>12</v>
      </c>
      <c r="E31" s="3" t="str">
        <f t="shared" si="1"/>
        <v>0x0C</v>
      </c>
      <c r="F31" s="3" t="s">
        <v>20</v>
      </c>
      <c r="G31" s="3">
        <f t="shared" si="2"/>
        <v>28</v>
      </c>
      <c r="H31" s="3" t="str">
        <f t="shared" si="3"/>
        <v>0x1C</v>
      </c>
      <c r="J31" s="3">
        <f t="shared" si="4"/>
        <v>7168</v>
      </c>
      <c r="K31" s="3" t="str">
        <f t="shared" si="5"/>
        <v>0x1C00</v>
      </c>
    </row>
    <row r="32" spans="1:11" x14ac:dyDescent="0.25">
      <c r="A32" s="3">
        <v>1</v>
      </c>
      <c r="B32" s="3" t="str">
        <f t="shared" si="0"/>
        <v>0x01</v>
      </c>
      <c r="C32" s="3" t="s">
        <v>5</v>
      </c>
      <c r="D32" s="3">
        <v>13</v>
      </c>
      <c r="E32" s="3" t="str">
        <f t="shared" si="1"/>
        <v>0x0D</v>
      </c>
      <c r="F32" s="3" t="s">
        <v>21</v>
      </c>
      <c r="G32" s="3">
        <f t="shared" si="2"/>
        <v>29</v>
      </c>
      <c r="H32" s="3" t="str">
        <f t="shared" si="3"/>
        <v>0x1D</v>
      </c>
      <c r="J32" s="3">
        <f t="shared" si="4"/>
        <v>7424</v>
      </c>
      <c r="K32" s="3" t="str">
        <f t="shared" si="5"/>
        <v>0x1D00</v>
      </c>
    </row>
    <row r="33" spans="1:11" x14ac:dyDescent="0.25">
      <c r="A33" s="3">
        <v>1</v>
      </c>
      <c r="B33" s="3" t="str">
        <f t="shared" si="0"/>
        <v>0x01</v>
      </c>
      <c r="C33" s="3" t="s">
        <v>5</v>
      </c>
      <c r="D33" s="3">
        <v>14</v>
      </c>
      <c r="E33" s="3" t="str">
        <f t="shared" si="1"/>
        <v>0x0E</v>
      </c>
      <c r="F33" s="3" t="s">
        <v>22</v>
      </c>
      <c r="G33" s="3">
        <f t="shared" si="2"/>
        <v>30</v>
      </c>
      <c r="H33" s="3" t="str">
        <f t="shared" si="3"/>
        <v>0x1E</v>
      </c>
      <c r="J33" s="3">
        <f t="shared" si="4"/>
        <v>7680</v>
      </c>
      <c r="K33" s="3" t="str">
        <f t="shared" si="5"/>
        <v>0x1E00</v>
      </c>
    </row>
    <row r="34" spans="1:11" x14ac:dyDescent="0.25">
      <c r="A34" s="3">
        <v>1</v>
      </c>
      <c r="B34" s="3" t="str">
        <f t="shared" si="0"/>
        <v>0x01</v>
      </c>
      <c r="C34" s="3" t="s">
        <v>5</v>
      </c>
      <c r="D34" s="3">
        <v>15</v>
      </c>
      <c r="E34" s="3" t="str">
        <f t="shared" si="1"/>
        <v>0x0F</v>
      </c>
      <c r="F34" s="3" t="s">
        <v>23</v>
      </c>
      <c r="G34" s="3">
        <f t="shared" si="2"/>
        <v>31</v>
      </c>
      <c r="H34" s="3" t="str">
        <f t="shared" si="3"/>
        <v>0x1F</v>
      </c>
      <c r="J34" s="3">
        <f t="shared" si="4"/>
        <v>7936</v>
      </c>
      <c r="K34" s="3" t="str">
        <f t="shared" si="5"/>
        <v>0x1F00</v>
      </c>
    </row>
    <row r="35" spans="1:11" x14ac:dyDescent="0.25">
      <c r="A35" s="3">
        <v>2</v>
      </c>
      <c r="B35" s="3" t="str">
        <f t="shared" si="0"/>
        <v>0x02</v>
      </c>
      <c r="C35" s="3" t="s">
        <v>6</v>
      </c>
      <c r="D35" s="3">
        <v>0</v>
      </c>
      <c r="E35" s="3" t="str">
        <f t="shared" si="1"/>
        <v>0x00</v>
      </c>
      <c r="F35" s="3" t="s">
        <v>33</v>
      </c>
      <c r="G35" s="3">
        <f t="shared" si="2"/>
        <v>32</v>
      </c>
      <c r="H35" s="3" t="str">
        <f t="shared" si="3"/>
        <v>0x20</v>
      </c>
      <c r="J35" s="3">
        <f t="shared" si="4"/>
        <v>8192</v>
      </c>
      <c r="K35" s="3" t="str">
        <f t="shared" si="5"/>
        <v>0x2000</v>
      </c>
    </row>
    <row r="36" spans="1:11" x14ac:dyDescent="0.25">
      <c r="A36" s="3">
        <v>2</v>
      </c>
      <c r="B36" s="3" t="str">
        <f t="shared" si="0"/>
        <v>0x02</v>
      </c>
      <c r="C36" s="3" t="s">
        <v>6</v>
      </c>
      <c r="D36" s="3">
        <v>1</v>
      </c>
      <c r="E36" s="3" t="str">
        <f t="shared" si="1"/>
        <v>0x01</v>
      </c>
      <c r="F36" s="3" t="s">
        <v>34</v>
      </c>
      <c r="G36" s="3">
        <f t="shared" si="2"/>
        <v>33</v>
      </c>
      <c r="H36" s="3" t="str">
        <f t="shared" si="3"/>
        <v>0x21</v>
      </c>
      <c r="J36" s="3">
        <f t="shared" si="4"/>
        <v>8448</v>
      </c>
      <c r="K36" s="3" t="str">
        <f t="shared" si="5"/>
        <v>0x2100</v>
      </c>
    </row>
    <row r="37" spans="1:11" x14ac:dyDescent="0.25">
      <c r="A37" s="3">
        <v>2</v>
      </c>
      <c r="B37" s="3" t="str">
        <f t="shared" si="0"/>
        <v>0x02</v>
      </c>
      <c r="C37" s="3" t="s">
        <v>6</v>
      </c>
      <c r="D37" s="3">
        <v>2</v>
      </c>
      <c r="E37" s="3" t="str">
        <f t="shared" si="1"/>
        <v>0x02</v>
      </c>
      <c r="F37" s="3" t="s">
        <v>35</v>
      </c>
      <c r="G37" s="3">
        <f t="shared" si="2"/>
        <v>34</v>
      </c>
      <c r="H37" s="3" t="str">
        <f t="shared" si="3"/>
        <v>0x22</v>
      </c>
      <c r="J37" s="3">
        <f t="shared" si="4"/>
        <v>8704</v>
      </c>
      <c r="K37" s="3" t="str">
        <f t="shared" si="5"/>
        <v>0x2200</v>
      </c>
    </row>
    <row r="38" spans="1:11" x14ac:dyDescent="0.25">
      <c r="A38" s="3">
        <v>2</v>
      </c>
      <c r="B38" s="3" t="str">
        <f t="shared" si="0"/>
        <v>0x02</v>
      </c>
      <c r="C38" s="3" t="s">
        <v>6</v>
      </c>
      <c r="D38" s="3">
        <v>3</v>
      </c>
      <c r="E38" s="3" t="str">
        <f t="shared" si="1"/>
        <v>0x03</v>
      </c>
      <c r="F38" s="3" t="s">
        <v>36</v>
      </c>
      <c r="G38" s="3">
        <f t="shared" si="2"/>
        <v>35</v>
      </c>
      <c r="H38" s="3" t="str">
        <f t="shared" si="3"/>
        <v>0x23</v>
      </c>
      <c r="J38" s="3">
        <f t="shared" si="4"/>
        <v>8960</v>
      </c>
      <c r="K38" s="3" t="str">
        <f t="shared" si="5"/>
        <v>0x2300</v>
      </c>
    </row>
    <row r="39" spans="1:11" x14ac:dyDescent="0.25">
      <c r="A39" s="3">
        <v>2</v>
      </c>
      <c r="B39" s="3" t="str">
        <f t="shared" si="0"/>
        <v>0x02</v>
      </c>
      <c r="C39" s="3" t="s">
        <v>6</v>
      </c>
      <c r="D39" s="3">
        <v>4</v>
      </c>
      <c r="E39" s="3" t="str">
        <f t="shared" si="1"/>
        <v>0x04</v>
      </c>
      <c r="F39" s="3" t="s">
        <v>37</v>
      </c>
      <c r="G39" s="3">
        <f t="shared" si="2"/>
        <v>36</v>
      </c>
      <c r="H39" s="3" t="str">
        <f t="shared" si="3"/>
        <v>0x24</v>
      </c>
      <c r="J39" s="3">
        <f t="shared" si="4"/>
        <v>9216</v>
      </c>
      <c r="K39" s="3" t="str">
        <f t="shared" si="5"/>
        <v>0x2400</v>
      </c>
    </row>
    <row r="40" spans="1:11" x14ac:dyDescent="0.25">
      <c r="A40" s="3">
        <v>2</v>
      </c>
      <c r="B40" s="3" t="str">
        <f t="shared" si="0"/>
        <v>0x02</v>
      </c>
      <c r="C40" s="3" t="s">
        <v>6</v>
      </c>
      <c r="D40" s="3">
        <v>5</v>
      </c>
      <c r="E40" s="3" t="str">
        <f t="shared" si="1"/>
        <v>0x05</v>
      </c>
      <c r="F40" s="3" t="s">
        <v>38</v>
      </c>
      <c r="G40" s="3">
        <f t="shared" si="2"/>
        <v>37</v>
      </c>
      <c r="H40" s="3" t="str">
        <f t="shared" si="3"/>
        <v>0x25</v>
      </c>
      <c r="J40" s="3">
        <f t="shared" si="4"/>
        <v>9472</v>
      </c>
      <c r="K40" s="3" t="str">
        <f t="shared" si="5"/>
        <v>0x2500</v>
      </c>
    </row>
    <row r="41" spans="1:11" x14ac:dyDescent="0.25">
      <c r="A41" s="3">
        <v>2</v>
      </c>
      <c r="B41" s="3" t="str">
        <f t="shared" si="0"/>
        <v>0x02</v>
      </c>
      <c r="C41" s="3" t="s">
        <v>6</v>
      </c>
      <c r="D41" s="3">
        <v>6</v>
      </c>
      <c r="E41" s="3" t="str">
        <f t="shared" si="1"/>
        <v>0x06</v>
      </c>
      <c r="F41" s="3" t="s">
        <v>39</v>
      </c>
      <c r="G41" s="3">
        <f t="shared" si="2"/>
        <v>38</v>
      </c>
      <c r="H41" s="3" t="str">
        <f t="shared" si="3"/>
        <v>0x26</v>
      </c>
      <c r="J41" s="3">
        <f t="shared" si="4"/>
        <v>9728</v>
      </c>
      <c r="K41" s="3" t="str">
        <f t="shared" si="5"/>
        <v>0x2600</v>
      </c>
    </row>
    <row r="42" spans="1:11" x14ac:dyDescent="0.25">
      <c r="A42" s="3">
        <v>2</v>
      </c>
      <c r="B42" s="3" t="str">
        <f t="shared" si="0"/>
        <v>0x02</v>
      </c>
      <c r="C42" s="3" t="s">
        <v>6</v>
      </c>
      <c r="D42" s="3">
        <v>7</v>
      </c>
      <c r="E42" s="3" t="str">
        <f t="shared" si="1"/>
        <v>0x07</v>
      </c>
      <c r="F42" s="3" t="s">
        <v>40</v>
      </c>
      <c r="G42" s="3">
        <f t="shared" si="2"/>
        <v>39</v>
      </c>
      <c r="H42" s="3" t="str">
        <f t="shared" si="3"/>
        <v>0x27</v>
      </c>
      <c r="J42" s="3">
        <f t="shared" si="4"/>
        <v>9984</v>
      </c>
      <c r="K42" s="3" t="str">
        <f t="shared" si="5"/>
        <v>0x2700</v>
      </c>
    </row>
    <row r="43" spans="1:11" x14ac:dyDescent="0.25">
      <c r="A43" s="3">
        <v>2</v>
      </c>
      <c r="B43" s="3" t="str">
        <f t="shared" si="0"/>
        <v>0x02</v>
      </c>
      <c r="C43" s="3" t="s">
        <v>6</v>
      </c>
      <c r="D43" s="3">
        <v>8</v>
      </c>
      <c r="E43" s="3" t="str">
        <f t="shared" si="1"/>
        <v>0x08</v>
      </c>
      <c r="F43" s="3" t="s">
        <v>41</v>
      </c>
      <c r="G43" s="3">
        <f t="shared" si="2"/>
        <v>40</v>
      </c>
      <c r="H43" s="3" t="str">
        <f t="shared" si="3"/>
        <v>0x28</v>
      </c>
      <c r="J43" s="3">
        <f t="shared" si="4"/>
        <v>10240</v>
      </c>
      <c r="K43" s="3" t="str">
        <f t="shared" si="5"/>
        <v>0x2800</v>
      </c>
    </row>
    <row r="44" spans="1:11" x14ac:dyDescent="0.25">
      <c r="A44" s="3">
        <v>2</v>
      </c>
      <c r="B44" s="3" t="str">
        <f t="shared" si="0"/>
        <v>0x02</v>
      </c>
      <c r="C44" s="3" t="s">
        <v>6</v>
      </c>
      <c r="D44" s="3">
        <v>9</v>
      </c>
      <c r="E44" s="3" t="str">
        <f t="shared" si="1"/>
        <v>0x09</v>
      </c>
      <c r="F44" s="3" t="s">
        <v>42</v>
      </c>
      <c r="G44" s="3">
        <f t="shared" si="2"/>
        <v>41</v>
      </c>
      <c r="H44" s="3" t="str">
        <f t="shared" si="3"/>
        <v>0x29</v>
      </c>
      <c r="J44" s="3">
        <f t="shared" si="4"/>
        <v>10496</v>
      </c>
      <c r="K44" s="3" t="str">
        <f t="shared" si="5"/>
        <v>0x2900</v>
      </c>
    </row>
    <row r="45" spans="1:11" x14ac:dyDescent="0.25">
      <c r="A45" s="3">
        <v>2</v>
      </c>
      <c r="B45" s="3" t="str">
        <f t="shared" si="0"/>
        <v>0x02</v>
      </c>
      <c r="C45" s="3" t="s">
        <v>6</v>
      </c>
      <c r="D45" s="3">
        <v>10</v>
      </c>
      <c r="E45" s="3" t="str">
        <f t="shared" si="1"/>
        <v>0x0A</v>
      </c>
      <c r="F45" s="3" t="s">
        <v>18</v>
      </c>
      <c r="G45" s="3">
        <f t="shared" si="2"/>
        <v>42</v>
      </c>
      <c r="H45" s="3" t="str">
        <f t="shared" si="3"/>
        <v>0x2A</v>
      </c>
      <c r="J45" s="3">
        <f t="shared" si="4"/>
        <v>10752</v>
      </c>
      <c r="K45" s="3" t="str">
        <f t="shared" si="5"/>
        <v>0x2A00</v>
      </c>
    </row>
    <row r="46" spans="1:11" x14ac:dyDescent="0.25">
      <c r="A46" s="3">
        <v>2</v>
      </c>
      <c r="B46" s="3" t="str">
        <f t="shared" si="0"/>
        <v>0x02</v>
      </c>
      <c r="C46" s="3" t="s">
        <v>6</v>
      </c>
      <c r="D46" s="3">
        <v>11</v>
      </c>
      <c r="E46" s="3" t="str">
        <f t="shared" si="1"/>
        <v>0x0B</v>
      </c>
      <c r="F46" s="3" t="s">
        <v>19</v>
      </c>
      <c r="G46" s="3">
        <f t="shared" si="2"/>
        <v>43</v>
      </c>
      <c r="H46" s="3" t="str">
        <f t="shared" si="3"/>
        <v>0x2B</v>
      </c>
      <c r="J46" s="3">
        <f t="shared" si="4"/>
        <v>11008</v>
      </c>
      <c r="K46" s="3" t="str">
        <f t="shared" si="5"/>
        <v>0x2B00</v>
      </c>
    </row>
    <row r="47" spans="1:11" x14ac:dyDescent="0.25">
      <c r="A47" s="3">
        <v>2</v>
      </c>
      <c r="B47" s="3" t="str">
        <f t="shared" si="0"/>
        <v>0x02</v>
      </c>
      <c r="C47" s="3" t="s">
        <v>6</v>
      </c>
      <c r="D47" s="3">
        <v>12</v>
      </c>
      <c r="E47" s="3" t="str">
        <f t="shared" si="1"/>
        <v>0x0C</v>
      </c>
      <c r="F47" s="3" t="s">
        <v>20</v>
      </c>
      <c r="G47" s="3">
        <f t="shared" si="2"/>
        <v>44</v>
      </c>
      <c r="H47" s="3" t="str">
        <f t="shared" si="3"/>
        <v>0x2C</v>
      </c>
      <c r="J47" s="3">
        <f t="shared" si="4"/>
        <v>11264</v>
      </c>
      <c r="K47" s="3" t="str">
        <f t="shared" si="5"/>
        <v>0x2C00</v>
      </c>
    </row>
    <row r="48" spans="1:11" x14ac:dyDescent="0.25">
      <c r="A48" s="3">
        <v>2</v>
      </c>
      <c r="B48" s="3" t="str">
        <f t="shared" si="0"/>
        <v>0x02</v>
      </c>
      <c r="C48" s="3" t="s">
        <v>6</v>
      </c>
      <c r="D48" s="3">
        <v>13</v>
      </c>
      <c r="E48" s="3" t="str">
        <f t="shared" si="1"/>
        <v>0x0D</v>
      </c>
      <c r="F48" s="3" t="s">
        <v>21</v>
      </c>
      <c r="G48" s="3">
        <f t="shared" si="2"/>
        <v>45</v>
      </c>
      <c r="H48" s="3" t="str">
        <f t="shared" si="3"/>
        <v>0x2D</v>
      </c>
      <c r="J48" s="3">
        <f t="shared" si="4"/>
        <v>11520</v>
      </c>
      <c r="K48" s="3" t="str">
        <f t="shared" si="5"/>
        <v>0x2D00</v>
      </c>
    </row>
    <row r="49" spans="1:11" x14ac:dyDescent="0.25">
      <c r="A49" s="3">
        <v>2</v>
      </c>
      <c r="B49" s="3" t="str">
        <f t="shared" si="0"/>
        <v>0x02</v>
      </c>
      <c r="C49" s="3" t="s">
        <v>6</v>
      </c>
      <c r="D49" s="3">
        <v>14</v>
      </c>
      <c r="E49" s="3" t="str">
        <f t="shared" si="1"/>
        <v>0x0E</v>
      </c>
      <c r="F49" s="3" t="s">
        <v>22</v>
      </c>
      <c r="G49" s="3">
        <f t="shared" si="2"/>
        <v>46</v>
      </c>
      <c r="H49" s="3" t="str">
        <f t="shared" si="3"/>
        <v>0x2E</v>
      </c>
      <c r="J49" s="3">
        <f t="shared" si="4"/>
        <v>11776</v>
      </c>
      <c r="K49" s="3" t="str">
        <f t="shared" si="5"/>
        <v>0x2E00</v>
      </c>
    </row>
    <row r="50" spans="1:11" x14ac:dyDescent="0.25">
      <c r="A50" s="3">
        <v>2</v>
      </c>
      <c r="B50" s="3" t="str">
        <f t="shared" si="0"/>
        <v>0x02</v>
      </c>
      <c r="C50" s="3" t="s">
        <v>6</v>
      </c>
      <c r="D50" s="3">
        <v>15</v>
      </c>
      <c r="E50" s="3" t="str">
        <f t="shared" si="1"/>
        <v>0x0F</v>
      </c>
      <c r="F50" s="3" t="s">
        <v>68</v>
      </c>
      <c r="G50" s="3">
        <f t="shared" si="2"/>
        <v>47</v>
      </c>
      <c r="H50" s="3" t="str">
        <f t="shared" si="3"/>
        <v>0x2F</v>
      </c>
      <c r="J50" s="3">
        <f t="shared" si="4"/>
        <v>12032</v>
      </c>
      <c r="K50" s="3" t="str">
        <f t="shared" si="5"/>
        <v>0x2F00</v>
      </c>
    </row>
    <row r="51" spans="1:11" x14ac:dyDescent="0.25">
      <c r="A51" s="3">
        <v>3</v>
      </c>
      <c r="B51" s="3" t="str">
        <f t="shared" si="0"/>
        <v>0x03</v>
      </c>
      <c r="C51" s="3" t="s">
        <v>7</v>
      </c>
      <c r="D51" s="3">
        <v>0</v>
      </c>
      <c r="E51" s="3" t="str">
        <f t="shared" si="1"/>
        <v>0x00</v>
      </c>
      <c r="F51" s="3" t="s">
        <v>43</v>
      </c>
      <c r="G51" s="3">
        <f t="shared" si="2"/>
        <v>48</v>
      </c>
      <c r="H51" s="3" t="str">
        <f t="shared" si="3"/>
        <v>0x30</v>
      </c>
      <c r="J51" s="3">
        <f t="shared" si="4"/>
        <v>12288</v>
      </c>
      <c r="K51" s="3" t="str">
        <f t="shared" si="5"/>
        <v>0x3000</v>
      </c>
    </row>
    <row r="52" spans="1:11" x14ac:dyDescent="0.25">
      <c r="A52" s="3">
        <v>3</v>
      </c>
      <c r="B52" s="3" t="str">
        <f t="shared" si="0"/>
        <v>0x03</v>
      </c>
      <c r="C52" s="3" t="s">
        <v>7</v>
      </c>
      <c r="D52" s="3">
        <v>1</v>
      </c>
      <c r="E52" s="3" t="str">
        <f t="shared" si="1"/>
        <v>0x01</v>
      </c>
      <c r="F52" s="3" t="s">
        <v>44</v>
      </c>
      <c r="G52" s="3">
        <f t="shared" si="2"/>
        <v>49</v>
      </c>
      <c r="H52" s="3" t="str">
        <f t="shared" si="3"/>
        <v>0x31</v>
      </c>
      <c r="J52" s="3">
        <f t="shared" si="4"/>
        <v>12544</v>
      </c>
      <c r="K52" s="3" t="str">
        <f t="shared" si="5"/>
        <v>0x3100</v>
      </c>
    </row>
    <row r="53" spans="1:11" x14ac:dyDescent="0.25">
      <c r="A53" s="3">
        <v>3</v>
      </c>
      <c r="B53" s="3" t="str">
        <f t="shared" si="0"/>
        <v>0x03</v>
      </c>
      <c r="C53" s="3" t="s">
        <v>7</v>
      </c>
      <c r="D53" s="3">
        <v>2</v>
      </c>
      <c r="E53" s="3" t="str">
        <f t="shared" si="1"/>
        <v>0x02</v>
      </c>
      <c r="F53" s="3" t="s">
        <v>45</v>
      </c>
      <c r="G53" s="3">
        <f t="shared" si="2"/>
        <v>50</v>
      </c>
      <c r="H53" s="3" t="str">
        <f t="shared" si="3"/>
        <v>0x32</v>
      </c>
      <c r="J53" s="3">
        <f t="shared" si="4"/>
        <v>12800</v>
      </c>
      <c r="K53" s="3" t="str">
        <f t="shared" si="5"/>
        <v>0x3200</v>
      </c>
    </row>
    <row r="54" spans="1:11" x14ac:dyDescent="0.25">
      <c r="A54" s="3">
        <v>3</v>
      </c>
      <c r="B54" s="3" t="str">
        <f t="shared" si="0"/>
        <v>0x03</v>
      </c>
      <c r="C54" s="3" t="s">
        <v>7</v>
      </c>
      <c r="D54" s="3">
        <v>3</v>
      </c>
      <c r="E54" s="3" t="str">
        <f t="shared" si="1"/>
        <v>0x03</v>
      </c>
      <c r="F54" s="3" t="s">
        <v>46</v>
      </c>
      <c r="G54" s="3">
        <f t="shared" si="2"/>
        <v>51</v>
      </c>
      <c r="H54" s="3" t="str">
        <f t="shared" si="3"/>
        <v>0x33</v>
      </c>
      <c r="J54" s="3">
        <f t="shared" si="4"/>
        <v>13056</v>
      </c>
      <c r="K54" s="3" t="str">
        <f t="shared" si="5"/>
        <v>0x3300</v>
      </c>
    </row>
    <row r="55" spans="1:11" x14ac:dyDescent="0.25">
      <c r="A55" s="3">
        <v>3</v>
      </c>
      <c r="B55" s="3" t="str">
        <f t="shared" si="0"/>
        <v>0x03</v>
      </c>
      <c r="C55" s="3" t="s">
        <v>7</v>
      </c>
      <c r="D55" s="3">
        <v>4</v>
      </c>
      <c r="E55" s="3" t="str">
        <f t="shared" si="1"/>
        <v>0x04</v>
      </c>
      <c r="F55" s="3" t="s">
        <v>47</v>
      </c>
      <c r="G55" s="3">
        <f t="shared" si="2"/>
        <v>52</v>
      </c>
      <c r="H55" s="3" t="str">
        <f t="shared" si="3"/>
        <v>0x34</v>
      </c>
      <c r="J55" s="3">
        <f t="shared" si="4"/>
        <v>13312</v>
      </c>
      <c r="K55" s="3" t="str">
        <f t="shared" si="5"/>
        <v>0x3400</v>
      </c>
    </row>
    <row r="56" spans="1:11" x14ac:dyDescent="0.25">
      <c r="A56" s="3">
        <v>3</v>
      </c>
      <c r="B56" s="3" t="str">
        <f t="shared" si="0"/>
        <v>0x03</v>
      </c>
      <c r="C56" s="3" t="s">
        <v>7</v>
      </c>
      <c r="D56" s="3">
        <v>5</v>
      </c>
      <c r="E56" s="3" t="str">
        <f t="shared" si="1"/>
        <v>0x05</v>
      </c>
      <c r="F56" s="3" t="s">
        <v>48</v>
      </c>
      <c r="G56" s="3">
        <f t="shared" si="2"/>
        <v>53</v>
      </c>
      <c r="H56" s="3" t="str">
        <f t="shared" si="3"/>
        <v>0x35</v>
      </c>
      <c r="J56" s="3">
        <f t="shared" si="4"/>
        <v>13568</v>
      </c>
      <c r="K56" s="3" t="str">
        <f t="shared" si="5"/>
        <v>0x3500</v>
      </c>
    </row>
    <row r="57" spans="1:11" x14ac:dyDescent="0.25">
      <c r="A57" s="3">
        <v>3</v>
      </c>
      <c r="B57" s="3" t="str">
        <f t="shared" si="0"/>
        <v>0x03</v>
      </c>
      <c r="C57" s="3" t="s">
        <v>7</v>
      </c>
      <c r="D57" s="3">
        <v>6</v>
      </c>
      <c r="E57" s="3" t="str">
        <f t="shared" si="1"/>
        <v>0x06</v>
      </c>
      <c r="F57" s="3" t="s">
        <v>49</v>
      </c>
      <c r="G57" s="3">
        <f t="shared" si="2"/>
        <v>54</v>
      </c>
      <c r="H57" s="3" t="str">
        <f t="shared" si="3"/>
        <v>0x36</v>
      </c>
      <c r="J57" s="3">
        <f t="shared" si="4"/>
        <v>13824</v>
      </c>
      <c r="K57" s="3" t="str">
        <f t="shared" si="5"/>
        <v>0x3600</v>
      </c>
    </row>
    <row r="58" spans="1:11" x14ac:dyDescent="0.25">
      <c r="A58" s="3">
        <v>3</v>
      </c>
      <c r="B58" s="3" t="str">
        <f t="shared" si="0"/>
        <v>0x03</v>
      </c>
      <c r="C58" s="3" t="s">
        <v>7</v>
      </c>
      <c r="D58" s="3">
        <v>7</v>
      </c>
      <c r="E58" s="3" t="str">
        <f t="shared" si="1"/>
        <v>0x07</v>
      </c>
      <c r="F58" s="3" t="s">
        <v>50</v>
      </c>
      <c r="G58" s="3">
        <f t="shared" si="2"/>
        <v>55</v>
      </c>
      <c r="H58" s="3" t="str">
        <f t="shared" si="3"/>
        <v>0x37</v>
      </c>
      <c r="J58" s="3">
        <f t="shared" si="4"/>
        <v>14080</v>
      </c>
      <c r="K58" s="3" t="str">
        <f t="shared" si="5"/>
        <v>0x3700</v>
      </c>
    </row>
    <row r="59" spans="1:11" x14ac:dyDescent="0.25">
      <c r="A59" s="3">
        <v>3</v>
      </c>
      <c r="B59" s="3" t="str">
        <f t="shared" si="0"/>
        <v>0x03</v>
      </c>
      <c r="C59" s="3" t="s">
        <v>7</v>
      </c>
      <c r="D59" s="3">
        <v>8</v>
      </c>
      <c r="E59" s="3" t="str">
        <f t="shared" si="1"/>
        <v>0x08</v>
      </c>
      <c r="F59" s="3" t="s">
        <v>52</v>
      </c>
      <c r="G59" s="3">
        <f t="shared" si="2"/>
        <v>56</v>
      </c>
      <c r="H59" s="3" t="str">
        <f t="shared" si="3"/>
        <v>0x38</v>
      </c>
      <c r="J59" s="3">
        <f t="shared" si="4"/>
        <v>14336</v>
      </c>
      <c r="K59" s="3" t="str">
        <f t="shared" si="5"/>
        <v>0x3800</v>
      </c>
    </row>
    <row r="60" spans="1:11" x14ac:dyDescent="0.25">
      <c r="A60" s="3">
        <v>3</v>
      </c>
      <c r="B60" s="3" t="str">
        <f t="shared" si="0"/>
        <v>0x03</v>
      </c>
      <c r="C60" s="3" t="s">
        <v>7</v>
      </c>
      <c r="D60" s="3">
        <v>9</v>
      </c>
      <c r="E60" s="3" t="str">
        <f t="shared" si="1"/>
        <v>0x09</v>
      </c>
      <c r="F60" s="3" t="s">
        <v>51</v>
      </c>
      <c r="G60" s="3">
        <f t="shared" si="2"/>
        <v>57</v>
      </c>
      <c r="H60" s="3" t="str">
        <f t="shared" si="3"/>
        <v>0x39</v>
      </c>
      <c r="J60" s="3">
        <f t="shared" si="4"/>
        <v>14592</v>
      </c>
      <c r="K60" s="3" t="str">
        <f t="shared" si="5"/>
        <v>0x3900</v>
      </c>
    </row>
    <row r="61" spans="1:11" x14ac:dyDescent="0.25">
      <c r="A61" s="3">
        <v>3</v>
      </c>
      <c r="B61" s="3" t="str">
        <f t="shared" si="0"/>
        <v>0x03</v>
      </c>
      <c r="C61" s="3" t="s">
        <v>7</v>
      </c>
      <c r="D61" s="3">
        <v>10</v>
      </c>
      <c r="E61" s="3" t="str">
        <f t="shared" si="1"/>
        <v>0x0A</v>
      </c>
      <c r="F61" s="3" t="s">
        <v>53</v>
      </c>
      <c r="G61" s="3">
        <f t="shared" si="2"/>
        <v>58</v>
      </c>
      <c r="H61" s="3" t="str">
        <f t="shared" si="3"/>
        <v>0x3A</v>
      </c>
      <c r="J61" s="3">
        <f t="shared" si="4"/>
        <v>14848</v>
      </c>
      <c r="K61" s="3" t="str">
        <f t="shared" si="5"/>
        <v>0x3A00</v>
      </c>
    </row>
    <row r="62" spans="1:11" x14ac:dyDescent="0.25">
      <c r="A62" s="3">
        <v>3</v>
      </c>
      <c r="B62" s="3" t="str">
        <f t="shared" si="0"/>
        <v>0x03</v>
      </c>
      <c r="C62" s="3" t="s">
        <v>7</v>
      </c>
      <c r="D62" s="3">
        <v>11</v>
      </c>
      <c r="E62" s="3" t="str">
        <f t="shared" si="1"/>
        <v>0x0B</v>
      </c>
      <c r="F62" s="3" t="s">
        <v>54</v>
      </c>
      <c r="G62" s="3">
        <f t="shared" si="2"/>
        <v>59</v>
      </c>
      <c r="H62" s="3" t="str">
        <f t="shared" si="3"/>
        <v>0x3B</v>
      </c>
      <c r="J62" s="3">
        <f t="shared" si="4"/>
        <v>15104</v>
      </c>
      <c r="K62" s="3" t="str">
        <f t="shared" si="5"/>
        <v>0x3B00</v>
      </c>
    </row>
    <row r="63" spans="1:11" x14ac:dyDescent="0.25">
      <c r="A63" s="3">
        <v>3</v>
      </c>
      <c r="B63" s="3" t="str">
        <f t="shared" si="0"/>
        <v>0x03</v>
      </c>
      <c r="C63" s="3" t="s">
        <v>7</v>
      </c>
      <c r="D63" s="3">
        <v>12</v>
      </c>
      <c r="E63" s="3" t="str">
        <f t="shared" si="1"/>
        <v>0x0C</v>
      </c>
      <c r="F63" s="3" t="s">
        <v>55</v>
      </c>
      <c r="G63" s="3">
        <f t="shared" si="2"/>
        <v>60</v>
      </c>
      <c r="H63" s="3" t="str">
        <f t="shared" si="3"/>
        <v>0x3C</v>
      </c>
      <c r="J63" s="3">
        <f t="shared" si="4"/>
        <v>15360</v>
      </c>
      <c r="K63" s="3" t="str">
        <f t="shared" si="5"/>
        <v>0x3C00</v>
      </c>
    </row>
    <row r="64" spans="1:11" x14ac:dyDescent="0.25">
      <c r="A64" s="3">
        <v>3</v>
      </c>
      <c r="B64" s="3" t="str">
        <f t="shared" si="0"/>
        <v>0x03</v>
      </c>
      <c r="C64" s="3" t="s">
        <v>7</v>
      </c>
      <c r="D64" s="3">
        <v>13</v>
      </c>
      <c r="E64" s="3" t="str">
        <f t="shared" si="1"/>
        <v>0x0D</v>
      </c>
      <c r="F64" s="3" t="s">
        <v>56</v>
      </c>
      <c r="G64" s="3">
        <f t="shared" si="2"/>
        <v>61</v>
      </c>
      <c r="H64" s="3" t="str">
        <f t="shared" si="3"/>
        <v>0x3D</v>
      </c>
      <c r="J64" s="3">
        <f t="shared" si="4"/>
        <v>15616</v>
      </c>
      <c r="K64" s="3" t="str">
        <f t="shared" si="5"/>
        <v>0x3D00</v>
      </c>
    </row>
    <row r="65" spans="1:11" x14ac:dyDescent="0.25">
      <c r="A65" s="3">
        <v>3</v>
      </c>
      <c r="B65" s="3" t="str">
        <f t="shared" si="0"/>
        <v>0x03</v>
      </c>
      <c r="C65" s="3" t="s">
        <v>7</v>
      </c>
      <c r="D65" s="3">
        <v>14</v>
      </c>
      <c r="E65" s="3" t="str">
        <f t="shared" si="1"/>
        <v>0x0E</v>
      </c>
      <c r="F65" s="3" t="s">
        <v>57</v>
      </c>
      <c r="G65" s="3">
        <f t="shared" si="2"/>
        <v>62</v>
      </c>
      <c r="H65" s="3" t="str">
        <f t="shared" si="3"/>
        <v>0x3E</v>
      </c>
      <c r="J65" s="3">
        <f t="shared" si="4"/>
        <v>15872</v>
      </c>
      <c r="K65" s="3" t="str">
        <f t="shared" si="5"/>
        <v>0x3E00</v>
      </c>
    </row>
    <row r="66" spans="1:11" x14ac:dyDescent="0.25">
      <c r="A66" s="3">
        <v>3</v>
      </c>
      <c r="B66" s="3" t="str">
        <f t="shared" si="0"/>
        <v>0x03</v>
      </c>
      <c r="C66" s="3" t="s">
        <v>7</v>
      </c>
      <c r="D66" s="3">
        <v>15</v>
      </c>
      <c r="E66" s="3" t="str">
        <f t="shared" si="1"/>
        <v>0x0F</v>
      </c>
      <c r="F66" s="3" t="s">
        <v>58</v>
      </c>
      <c r="G66" s="3">
        <f t="shared" si="2"/>
        <v>63</v>
      </c>
      <c r="H66" s="3" t="str">
        <f t="shared" si="3"/>
        <v>0x3F</v>
      </c>
      <c r="J66" s="3">
        <f t="shared" si="4"/>
        <v>16128</v>
      </c>
      <c r="K66" s="3" t="str">
        <f t="shared" si="5"/>
        <v>0x3F00</v>
      </c>
    </row>
    <row r="67" spans="1:11" x14ac:dyDescent="0.25">
      <c r="A67" s="3">
        <v>4</v>
      </c>
      <c r="B67" s="3" t="str">
        <f t="shared" si="0"/>
        <v>0x04</v>
      </c>
      <c r="C67" s="3" t="s">
        <v>69</v>
      </c>
      <c r="D67" s="3">
        <v>0</v>
      </c>
      <c r="E67" s="3" t="str">
        <f t="shared" si="1"/>
        <v>0x00</v>
      </c>
      <c r="F67" s="3" t="s">
        <v>70</v>
      </c>
      <c r="G67" s="3">
        <f t="shared" ref="G67:G82" si="6">A67*16+D67</f>
        <v>64</v>
      </c>
      <c r="H67" s="3" t="str">
        <f t="shared" ref="H67:H82" si="7">"0x" &amp; DEC2HEX(G67, 2)</f>
        <v>0x40</v>
      </c>
      <c r="J67" s="3">
        <f t="shared" ref="J67:J82" si="8">G67*256</f>
        <v>16384</v>
      </c>
      <c r="K67" s="3" t="str">
        <f t="shared" ref="K67:K82" si="9">"0x"&amp;DEC2HEX(J67,4)</f>
        <v>0x4000</v>
      </c>
    </row>
    <row r="68" spans="1:11" x14ac:dyDescent="0.25">
      <c r="A68" s="3">
        <v>4</v>
      </c>
      <c r="B68" s="3" t="str">
        <f t="shared" si="0"/>
        <v>0x04</v>
      </c>
      <c r="C68" s="3" t="s">
        <v>69</v>
      </c>
      <c r="D68" s="3">
        <v>1</v>
      </c>
      <c r="E68" s="3" t="str">
        <f t="shared" ref="E68:E98" si="10">"0x" &amp; DEC2HEX(D68, 2)</f>
        <v>0x01</v>
      </c>
      <c r="F68" s="3" t="s">
        <v>71</v>
      </c>
      <c r="G68" s="3">
        <f t="shared" si="6"/>
        <v>65</v>
      </c>
      <c r="H68" s="3" t="str">
        <f t="shared" si="7"/>
        <v>0x41</v>
      </c>
      <c r="J68" s="3">
        <f t="shared" si="8"/>
        <v>16640</v>
      </c>
      <c r="K68" s="3" t="str">
        <f t="shared" si="9"/>
        <v>0x4100</v>
      </c>
    </row>
    <row r="69" spans="1:11" x14ac:dyDescent="0.25">
      <c r="A69" s="3">
        <v>4</v>
      </c>
      <c r="B69" s="3" t="str">
        <f t="shared" ref="B69:B98" si="11">"0x" &amp; DEC2HEX(A69, 2)</f>
        <v>0x04</v>
      </c>
      <c r="C69" s="3" t="s">
        <v>69</v>
      </c>
      <c r="D69" s="3">
        <v>2</v>
      </c>
      <c r="E69" s="3" t="str">
        <f t="shared" si="10"/>
        <v>0x02</v>
      </c>
      <c r="F69" s="3" t="s">
        <v>72</v>
      </c>
      <c r="G69" s="3">
        <f t="shared" si="6"/>
        <v>66</v>
      </c>
      <c r="H69" s="3" t="str">
        <f t="shared" si="7"/>
        <v>0x42</v>
      </c>
      <c r="J69" s="3">
        <f t="shared" si="8"/>
        <v>16896</v>
      </c>
      <c r="K69" s="3" t="str">
        <f t="shared" si="9"/>
        <v>0x4200</v>
      </c>
    </row>
    <row r="70" spans="1:11" x14ac:dyDescent="0.25">
      <c r="A70" s="3">
        <v>4</v>
      </c>
      <c r="B70" s="3" t="str">
        <f t="shared" si="11"/>
        <v>0x04</v>
      </c>
      <c r="C70" s="3" t="s">
        <v>69</v>
      </c>
      <c r="D70" s="3">
        <v>3</v>
      </c>
      <c r="E70" s="3" t="str">
        <f t="shared" si="10"/>
        <v>0x03</v>
      </c>
      <c r="F70" s="3" t="s">
        <v>73</v>
      </c>
      <c r="G70" s="3">
        <f t="shared" si="6"/>
        <v>67</v>
      </c>
      <c r="H70" s="3" t="str">
        <f t="shared" si="7"/>
        <v>0x43</v>
      </c>
      <c r="J70" s="3">
        <f t="shared" si="8"/>
        <v>17152</v>
      </c>
      <c r="K70" s="3" t="str">
        <f t="shared" si="9"/>
        <v>0x4300</v>
      </c>
    </row>
    <row r="71" spans="1:11" x14ac:dyDescent="0.25">
      <c r="A71" s="3">
        <v>4</v>
      </c>
      <c r="B71" s="3" t="str">
        <f t="shared" si="11"/>
        <v>0x04</v>
      </c>
      <c r="C71" s="3" t="s">
        <v>69</v>
      </c>
      <c r="D71" s="3">
        <v>4</v>
      </c>
      <c r="E71" s="3" t="str">
        <f t="shared" si="10"/>
        <v>0x04</v>
      </c>
      <c r="F71" s="3" t="s">
        <v>74</v>
      </c>
      <c r="G71" s="3">
        <f t="shared" si="6"/>
        <v>68</v>
      </c>
      <c r="H71" s="3" t="str">
        <f t="shared" si="7"/>
        <v>0x44</v>
      </c>
      <c r="J71" s="3">
        <f t="shared" si="8"/>
        <v>17408</v>
      </c>
      <c r="K71" s="3" t="str">
        <f t="shared" si="9"/>
        <v>0x4400</v>
      </c>
    </row>
    <row r="72" spans="1:11" x14ac:dyDescent="0.25">
      <c r="A72" s="3">
        <v>4</v>
      </c>
      <c r="B72" s="3" t="str">
        <f t="shared" si="11"/>
        <v>0x04</v>
      </c>
      <c r="C72" s="3" t="s">
        <v>69</v>
      </c>
      <c r="D72" s="3">
        <v>5</v>
      </c>
      <c r="E72" s="3" t="str">
        <f t="shared" si="10"/>
        <v>0x05</v>
      </c>
      <c r="F72" s="3" t="s">
        <v>29</v>
      </c>
      <c r="G72" s="3">
        <f t="shared" si="6"/>
        <v>69</v>
      </c>
      <c r="H72" s="3" t="str">
        <f t="shared" si="7"/>
        <v>0x45</v>
      </c>
      <c r="J72" s="3">
        <f t="shared" si="8"/>
        <v>17664</v>
      </c>
      <c r="K72" s="3" t="str">
        <f t="shared" si="9"/>
        <v>0x4500</v>
      </c>
    </row>
    <row r="73" spans="1:11" x14ac:dyDescent="0.25">
      <c r="A73" s="3">
        <v>4</v>
      </c>
      <c r="B73" s="3" t="str">
        <f t="shared" si="11"/>
        <v>0x04</v>
      </c>
      <c r="C73" s="3" t="s">
        <v>69</v>
      </c>
      <c r="D73" s="3">
        <v>6</v>
      </c>
      <c r="E73" s="3" t="str">
        <f t="shared" si="10"/>
        <v>0x06</v>
      </c>
      <c r="F73" s="3" t="s">
        <v>30</v>
      </c>
      <c r="G73" s="3">
        <f t="shared" si="6"/>
        <v>70</v>
      </c>
      <c r="H73" s="3" t="str">
        <f t="shared" si="7"/>
        <v>0x46</v>
      </c>
      <c r="J73" s="3">
        <f t="shared" si="8"/>
        <v>17920</v>
      </c>
      <c r="K73" s="3" t="str">
        <f t="shared" si="9"/>
        <v>0x4600</v>
      </c>
    </row>
    <row r="74" spans="1:11" x14ac:dyDescent="0.25">
      <c r="A74" s="3">
        <v>4</v>
      </c>
      <c r="B74" s="3" t="str">
        <f t="shared" si="11"/>
        <v>0x04</v>
      </c>
      <c r="C74" s="3" t="s">
        <v>69</v>
      </c>
      <c r="D74" s="3">
        <v>7</v>
      </c>
      <c r="E74" s="3" t="str">
        <f t="shared" si="10"/>
        <v>0x07</v>
      </c>
      <c r="F74" s="3" t="s">
        <v>31</v>
      </c>
      <c r="G74" s="3">
        <f t="shared" si="6"/>
        <v>71</v>
      </c>
      <c r="H74" s="3" t="str">
        <f t="shared" si="7"/>
        <v>0x47</v>
      </c>
      <c r="J74" s="3">
        <f t="shared" si="8"/>
        <v>18176</v>
      </c>
      <c r="K74" s="3" t="str">
        <f t="shared" si="9"/>
        <v>0x4700</v>
      </c>
    </row>
    <row r="75" spans="1:11" x14ac:dyDescent="0.25">
      <c r="A75" s="3">
        <v>4</v>
      </c>
      <c r="B75" s="3" t="str">
        <f t="shared" si="11"/>
        <v>0x04</v>
      </c>
      <c r="C75" s="3" t="s">
        <v>69</v>
      </c>
      <c r="D75" s="3">
        <v>8</v>
      </c>
      <c r="E75" s="3" t="str">
        <f t="shared" si="10"/>
        <v>0x08</v>
      </c>
      <c r="F75" s="3" t="s">
        <v>32</v>
      </c>
      <c r="G75" s="3">
        <f t="shared" si="6"/>
        <v>72</v>
      </c>
      <c r="H75" s="3" t="str">
        <f t="shared" si="7"/>
        <v>0x48</v>
      </c>
      <c r="J75" s="3">
        <f t="shared" si="8"/>
        <v>18432</v>
      </c>
      <c r="K75" s="3" t="str">
        <f t="shared" si="9"/>
        <v>0x4800</v>
      </c>
    </row>
    <row r="76" spans="1:11" x14ac:dyDescent="0.25">
      <c r="A76" s="3">
        <v>4</v>
      </c>
      <c r="B76" s="3" t="str">
        <f t="shared" si="11"/>
        <v>0x04</v>
      </c>
      <c r="C76" s="3" t="s">
        <v>69</v>
      </c>
      <c r="D76" s="3">
        <v>9</v>
      </c>
      <c r="E76" s="3" t="str">
        <f t="shared" si="10"/>
        <v>0x09</v>
      </c>
      <c r="F76" s="3" t="s">
        <v>17</v>
      </c>
      <c r="G76" s="3">
        <f t="shared" si="6"/>
        <v>73</v>
      </c>
      <c r="H76" s="3" t="str">
        <f t="shared" si="7"/>
        <v>0x49</v>
      </c>
      <c r="J76" s="3">
        <f t="shared" si="8"/>
        <v>18688</v>
      </c>
      <c r="K76" s="3" t="str">
        <f t="shared" si="9"/>
        <v>0x4900</v>
      </c>
    </row>
    <row r="77" spans="1:11" x14ac:dyDescent="0.25">
      <c r="A77" s="3">
        <v>4</v>
      </c>
      <c r="B77" s="3" t="str">
        <f t="shared" si="11"/>
        <v>0x04</v>
      </c>
      <c r="C77" s="3" t="s">
        <v>69</v>
      </c>
      <c r="D77" s="3">
        <v>10</v>
      </c>
      <c r="E77" s="3" t="str">
        <f t="shared" si="10"/>
        <v>0x0A</v>
      </c>
      <c r="F77" s="3" t="s">
        <v>18</v>
      </c>
      <c r="G77" s="3">
        <f t="shared" si="6"/>
        <v>74</v>
      </c>
      <c r="H77" s="3" t="str">
        <f t="shared" si="7"/>
        <v>0x4A</v>
      </c>
      <c r="J77" s="3">
        <f t="shared" si="8"/>
        <v>18944</v>
      </c>
      <c r="K77" s="3" t="str">
        <f t="shared" si="9"/>
        <v>0x4A00</v>
      </c>
    </row>
    <row r="78" spans="1:11" x14ac:dyDescent="0.25">
      <c r="A78" s="3">
        <v>4</v>
      </c>
      <c r="B78" s="3" t="str">
        <f t="shared" si="11"/>
        <v>0x04</v>
      </c>
      <c r="C78" s="3" t="s">
        <v>69</v>
      </c>
      <c r="D78" s="3">
        <v>11</v>
      </c>
      <c r="E78" s="3" t="str">
        <f t="shared" si="10"/>
        <v>0x0B</v>
      </c>
      <c r="F78" s="3" t="s">
        <v>19</v>
      </c>
      <c r="G78" s="3">
        <f t="shared" si="6"/>
        <v>75</v>
      </c>
      <c r="H78" s="3" t="str">
        <f t="shared" si="7"/>
        <v>0x4B</v>
      </c>
      <c r="J78" s="3">
        <f t="shared" si="8"/>
        <v>19200</v>
      </c>
      <c r="K78" s="3" t="str">
        <f t="shared" si="9"/>
        <v>0x4B00</v>
      </c>
    </row>
    <row r="79" spans="1:11" x14ac:dyDescent="0.25">
      <c r="A79" s="3">
        <v>4</v>
      </c>
      <c r="B79" s="3" t="str">
        <f t="shared" si="11"/>
        <v>0x04</v>
      </c>
      <c r="C79" s="3" t="s">
        <v>69</v>
      </c>
      <c r="D79" s="3">
        <v>12</v>
      </c>
      <c r="E79" s="3" t="str">
        <f t="shared" si="10"/>
        <v>0x0C</v>
      </c>
      <c r="F79" s="3" t="s">
        <v>20</v>
      </c>
      <c r="G79" s="3">
        <f t="shared" si="6"/>
        <v>76</v>
      </c>
      <c r="H79" s="3" t="str">
        <f t="shared" si="7"/>
        <v>0x4C</v>
      </c>
      <c r="J79" s="3">
        <f t="shared" si="8"/>
        <v>19456</v>
      </c>
      <c r="K79" s="3" t="str">
        <f t="shared" si="9"/>
        <v>0x4C00</v>
      </c>
    </row>
    <row r="80" spans="1:11" x14ac:dyDescent="0.25">
      <c r="A80" s="3">
        <v>4</v>
      </c>
      <c r="B80" s="3" t="str">
        <f t="shared" si="11"/>
        <v>0x04</v>
      </c>
      <c r="C80" s="3" t="s">
        <v>69</v>
      </c>
      <c r="D80" s="3">
        <v>13</v>
      </c>
      <c r="E80" s="3" t="str">
        <f t="shared" si="10"/>
        <v>0x0D</v>
      </c>
      <c r="F80" s="3" t="s">
        <v>21</v>
      </c>
      <c r="G80" s="3">
        <f t="shared" si="6"/>
        <v>77</v>
      </c>
      <c r="H80" s="3" t="str">
        <f t="shared" si="7"/>
        <v>0x4D</v>
      </c>
      <c r="J80" s="3">
        <f t="shared" si="8"/>
        <v>19712</v>
      </c>
      <c r="K80" s="3" t="str">
        <f t="shared" si="9"/>
        <v>0x4D00</v>
      </c>
    </row>
    <row r="81" spans="1:11" x14ac:dyDescent="0.25">
      <c r="A81" s="3">
        <v>4</v>
      </c>
      <c r="B81" s="3" t="str">
        <f t="shared" si="11"/>
        <v>0x04</v>
      </c>
      <c r="C81" s="3" t="s">
        <v>69</v>
      </c>
      <c r="D81" s="3">
        <v>14</v>
      </c>
      <c r="E81" s="3" t="str">
        <f t="shared" si="10"/>
        <v>0x0E</v>
      </c>
      <c r="F81" s="3" t="s">
        <v>22</v>
      </c>
      <c r="G81" s="3">
        <f t="shared" si="6"/>
        <v>78</v>
      </c>
      <c r="H81" s="3" t="str">
        <f t="shared" si="7"/>
        <v>0x4E</v>
      </c>
      <c r="J81" s="3">
        <f t="shared" si="8"/>
        <v>19968</v>
      </c>
      <c r="K81" s="3" t="str">
        <f t="shared" si="9"/>
        <v>0x4E00</v>
      </c>
    </row>
    <row r="82" spans="1:11" x14ac:dyDescent="0.25">
      <c r="A82" s="3">
        <v>4</v>
      </c>
      <c r="B82" s="3" t="str">
        <f t="shared" si="11"/>
        <v>0x04</v>
      </c>
      <c r="C82" s="3" t="s">
        <v>69</v>
      </c>
      <c r="D82" s="3">
        <v>15</v>
      </c>
      <c r="E82" s="3" t="str">
        <f t="shared" si="10"/>
        <v>0x0F</v>
      </c>
      <c r="F82" s="3" t="s">
        <v>23</v>
      </c>
      <c r="G82" s="3">
        <f t="shared" si="6"/>
        <v>79</v>
      </c>
      <c r="H82" s="3" t="str">
        <f t="shared" si="7"/>
        <v>0x4F</v>
      </c>
      <c r="J82" s="3">
        <f t="shared" si="8"/>
        <v>20224</v>
      </c>
      <c r="K82" s="3" t="str">
        <f t="shared" si="9"/>
        <v>0x4F00</v>
      </c>
    </row>
    <row r="83" spans="1:11" x14ac:dyDescent="0.25">
      <c r="A83" s="3">
        <v>5</v>
      </c>
      <c r="B83" s="3" t="str">
        <f t="shared" si="11"/>
        <v>0x05</v>
      </c>
      <c r="C83" s="3" t="s">
        <v>75</v>
      </c>
      <c r="D83" s="3">
        <v>0</v>
      </c>
      <c r="E83" s="3" t="str">
        <f t="shared" si="10"/>
        <v>0x00</v>
      </c>
      <c r="F83" s="3" t="s">
        <v>76</v>
      </c>
      <c r="G83" s="3">
        <f t="shared" ref="G83:G98" si="12">A83*16+D83</f>
        <v>80</v>
      </c>
      <c r="H83" s="3" t="str">
        <f t="shared" ref="H83:H98" si="13">"0x" &amp; DEC2HEX(G83, 2)</f>
        <v>0x50</v>
      </c>
      <c r="J83" s="3">
        <f t="shared" ref="J83:J98" si="14">G83*256</f>
        <v>20480</v>
      </c>
      <c r="K83" s="3" t="str">
        <f t="shared" ref="K83:K98" si="15">"0x"&amp;DEC2HEX(J83,4)</f>
        <v>0x5000</v>
      </c>
    </row>
    <row r="84" spans="1:11" x14ac:dyDescent="0.25">
      <c r="A84" s="3">
        <v>5</v>
      </c>
      <c r="B84" s="3" t="str">
        <f t="shared" si="11"/>
        <v>0x05</v>
      </c>
      <c r="C84" s="3" t="s">
        <v>75</v>
      </c>
      <c r="D84" s="3">
        <v>1</v>
      </c>
      <c r="E84" s="3" t="str">
        <f t="shared" si="10"/>
        <v>0x01</v>
      </c>
      <c r="F84" s="3" t="s">
        <v>77</v>
      </c>
      <c r="G84" s="3">
        <f t="shared" si="12"/>
        <v>81</v>
      </c>
      <c r="H84" s="3" t="str">
        <f t="shared" si="13"/>
        <v>0x51</v>
      </c>
      <c r="J84" s="3">
        <f t="shared" si="14"/>
        <v>20736</v>
      </c>
      <c r="K84" s="3" t="str">
        <f t="shared" si="15"/>
        <v>0x5100</v>
      </c>
    </row>
    <row r="85" spans="1:11" x14ac:dyDescent="0.25">
      <c r="A85" s="3">
        <v>5</v>
      </c>
      <c r="B85" s="3" t="str">
        <f t="shared" si="11"/>
        <v>0x05</v>
      </c>
      <c r="C85" s="3" t="s">
        <v>75</v>
      </c>
      <c r="D85" s="3">
        <v>2</v>
      </c>
      <c r="E85" s="3" t="str">
        <f t="shared" si="10"/>
        <v>0x02</v>
      </c>
      <c r="F85" s="3" t="s">
        <v>78</v>
      </c>
      <c r="G85" s="3">
        <f t="shared" si="12"/>
        <v>82</v>
      </c>
      <c r="H85" s="3" t="str">
        <f t="shared" si="13"/>
        <v>0x52</v>
      </c>
      <c r="J85" s="3">
        <f t="shared" si="14"/>
        <v>20992</v>
      </c>
      <c r="K85" s="3" t="str">
        <f t="shared" si="15"/>
        <v>0x5200</v>
      </c>
    </row>
    <row r="86" spans="1:11" x14ac:dyDescent="0.25">
      <c r="A86" s="3">
        <v>5</v>
      </c>
      <c r="B86" s="3" t="str">
        <f t="shared" si="11"/>
        <v>0x05</v>
      </c>
      <c r="C86" s="3" t="s">
        <v>75</v>
      </c>
      <c r="D86" s="3">
        <v>3</v>
      </c>
      <c r="E86" s="3" t="str">
        <f t="shared" si="10"/>
        <v>0x03</v>
      </c>
      <c r="F86" s="3" t="s">
        <v>79</v>
      </c>
      <c r="G86" s="3">
        <f t="shared" si="12"/>
        <v>83</v>
      </c>
      <c r="H86" s="3" t="str">
        <f t="shared" si="13"/>
        <v>0x53</v>
      </c>
      <c r="J86" s="3">
        <f t="shared" si="14"/>
        <v>21248</v>
      </c>
      <c r="K86" s="3" t="str">
        <f t="shared" si="15"/>
        <v>0x5300</v>
      </c>
    </row>
    <row r="87" spans="1:11" x14ac:dyDescent="0.25">
      <c r="A87" s="3">
        <v>5</v>
      </c>
      <c r="B87" s="3" t="str">
        <f t="shared" si="11"/>
        <v>0x05</v>
      </c>
      <c r="C87" s="3" t="s">
        <v>75</v>
      </c>
      <c r="D87" s="3">
        <v>4</v>
      </c>
      <c r="E87" s="3" t="str">
        <f t="shared" si="10"/>
        <v>0x04</v>
      </c>
      <c r="F87" s="3" t="s">
        <v>80</v>
      </c>
      <c r="G87" s="3">
        <f t="shared" si="12"/>
        <v>84</v>
      </c>
      <c r="H87" s="3" t="str">
        <f t="shared" si="13"/>
        <v>0x54</v>
      </c>
      <c r="J87" s="3">
        <f t="shared" si="14"/>
        <v>21504</v>
      </c>
      <c r="K87" s="3" t="str">
        <f t="shared" si="15"/>
        <v>0x5400</v>
      </c>
    </row>
    <row r="88" spans="1:11" x14ac:dyDescent="0.25">
      <c r="A88" s="3">
        <v>5</v>
      </c>
      <c r="B88" s="3" t="str">
        <f t="shared" si="11"/>
        <v>0x05</v>
      </c>
      <c r="C88" s="3" t="s">
        <v>75</v>
      </c>
      <c r="D88" s="3">
        <v>5</v>
      </c>
      <c r="E88" s="3" t="str">
        <f t="shared" si="10"/>
        <v>0x05</v>
      </c>
      <c r="F88" s="3" t="s">
        <v>81</v>
      </c>
      <c r="G88" s="3">
        <f t="shared" si="12"/>
        <v>85</v>
      </c>
      <c r="H88" s="3" t="str">
        <f t="shared" si="13"/>
        <v>0x55</v>
      </c>
      <c r="J88" s="3">
        <f t="shared" si="14"/>
        <v>21760</v>
      </c>
      <c r="K88" s="3" t="str">
        <f t="shared" si="15"/>
        <v>0x5500</v>
      </c>
    </row>
    <row r="89" spans="1:11" x14ac:dyDescent="0.25">
      <c r="A89" s="3">
        <v>5</v>
      </c>
      <c r="B89" s="3" t="str">
        <f t="shared" si="11"/>
        <v>0x05</v>
      </c>
      <c r="C89" s="3" t="s">
        <v>75</v>
      </c>
      <c r="D89" s="3">
        <v>6</v>
      </c>
      <c r="E89" s="3" t="str">
        <f t="shared" si="10"/>
        <v>0x06</v>
      </c>
      <c r="F89" s="3" t="s">
        <v>82</v>
      </c>
      <c r="G89" s="3">
        <f t="shared" si="12"/>
        <v>86</v>
      </c>
      <c r="H89" s="3" t="str">
        <f t="shared" si="13"/>
        <v>0x56</v>
      </c>
      <c r="J89" s="3">
        <f t="shared" si="14"/>
        <v>22016</v>
      </c>
      <c r="K89" s="3" t="str">
        <f t="shared" si="15"/>
        <v>0x5600</v>
      </c>
    </row>
    <row r="90" spans="1:11" x14ac:dyDescent="0.25">
      <c r="A90" s="3">
        <v>5</v>
      </c>
      <c r="B90" s="3" t="str">
        <f t="shared" si="11"/>
        <v>0x05</v>
      </c>
      <c r="C90" s="3" t="s">
        <v>75</v>
      </c>
      <c r="D90" s="3">
        <v>7</v>
      </c>
      <c r="E90" s="3" t="str">
        <f t="shared" si="10"/>
        <v>0x07</v>
      </c>
      <c r="F90" s="3" t="s">
        <v>83</v>
      </c>
      <c r="G90" s="3">
        <f t="shared" si="12"/>
        <v>87</v>
      </c>
      <c r="H90" s="3" t="str">
        <f t="shared" si="13"/>
        <v>0x57</v>
      </c>
      <c r="J90" s="3">
        <f t="shared" si="14"/>
        <v>22272</v>
      </c>
      <c r="K90" s="3" t="str">
        <f t="shared" si="15"/>
        <v>0x5700</v>
      </c>
    </row>
    <row r="91" spans="1:11" x14ac:dyDescent="0.25">
      <c r="A91" s="3">
        <v>5</v>
      </c>
      <c r="B91" s="3" t="str">
        <f t="shared" si="11"/>
        <v>0x05</v>
      </c>
      <c r="C91" s="3" t="s">
        <v>75</v>
      </c>
      <c r="D91" s="3">
        <v>8</v>
      </c>
      <c r="E91" s="3" t="str">
        <f t="shared" si="10"/>
        <v>0x08</v>
      </c>
      <c r="F91" s="3" t="s">
        <v>84</v>
      </c>
      <c r="G91" s="3">
        <f t="shared" si="12"/>
        <v>88</v>
      </c>
      <c r="H91" s="3" t="str">
        <f t="shared" si="13"/>
        <v>0x58</v>
      </c>
      <c r="J91" s="3">
        <f t="shared" si="14"/>
        <v>22528</v>
      </c>
      <c r="K91" s="3" t="str">
        <f t="shared" si="15"/>
        <v>0x5800</v>
      </c>
    </row>
    <row r="92" spans="1:11" x14ac:dyDescent="0.25">
      <c r="A92" s="3">
        <v>5</v>
      </c>
      <c r="B92" s="3" t="str">
        <f t="shared" si="11"/>
        <v>0x05</v>
      </c>
      <c r="C92" s="3" t="s">
        <v>75</v>
      </c>
      <c r="D92" s="3">
        <v>9</v>
      </c>
      <c r="E92" s="3" t="str">
        <f t="shared" si="10"/>
        <v>0x09</v>
      </c>
      <c r="F92" s="3" t="s">
        <v>17</v>
      </c>
      <c r="G92" s="3">
        <f t="shared" si="12"/>
        <v>89</v>
      </c>
      <c r="H92" s="3" t="str">
        <f t="shared" si="13"/>
        <v>0x59</v>
      </c>
      <c r="J92" s="3">
        <f t="shared" si="14"/>
        <v>22784</v>
      </c>
      <c r="K92" s="3" t="str">
        <f t="shared" si="15"/>
        <v>0x5900</v>
      </c>
    </row>
    <row r="93" spans="1:11" x14ac:dyDescent="0.25">
      <c r="A93" s="3">
        <v>5</v>
      </c>
      <c r="B93" s="3" t="str">
        <f t="shared" si="11"/>
        <v>0x05</v>
      </c>
      <c r="C93" s="3" t="s">
        <v>75</v>
      </c>
      <c r="D93" s="3">
        <v>10</v>
      </c>
      <c r="E93" s="3" t="str">
        <f t="shared" si="10"/>
        <v>0x0A</v>
      </c>
      <c r="F93" s="3" t="s">
        <v>85</v>
      </c>
      <c r="G93" s="3">
        <f t="shared" si="12"/>
        <v>90</v>
      </c>
      <c r="H93" s="3" t="str">
        <f t="shared" si="13"/>
        <v>0x5A</v>
      </c>
      <c r="J93" s="3">
        <f t="shared" si="14"/>
        <v>23040</v>
      </c>
      <c r="K93" s="3" t="str">
        <f t="shared" si="15"/>
        <v>0x5A00</v>
      </c>
    </row>
    <row r="94" spans="1:11" x14ac:dyDescent="0.25">
      <c r="A94" s="3">
        <v>5</v>
      </c>
      <c r="B94" s="3" t="str">
        <f t="shared" si="11"/>
        <v>0x05</v>
      </c>
      <c r="C94" s="3" t="s">
        <v>75</v>
      </c>
      <c r="D94" s="3">
        <v>11</v>
      </c>
      <c r="E94" s="3" t="str">
        <f t="shared" si="10"/>
        <v>0x0B</v>
      </c>
      <c r="F94" s="3" t="s">
        <v>86</v>
      </c>
      <c r="G94" s="3">
        <f t="shared" si="12"/>
        <v>91</v>
      </c>
      <c r="H94" s="3" t="str">
        <f t="shared" si="13"/>
        <v>0x5B</v>
      </c>
      <c r="J94" s="3">
        <f t="shared" si="14"/>
        <v>23296</v>
      </c>
      <c r="K94" s="3" t="str">
        <f t="shared" si="15"/>
        <v>0x5B00</v>
      </c>
    </row>
    <row r="95" spans="1:11" x14ac:dyDescent="0.25">
      <c r="A95" s="3">
        <v>5</v>
      </c>
      <c r="B95" s="3" t="str">
        <f t="shared" si="11"/>
        <v>0x05</v>
      </c>
      <c r="C95" s="3" t="s">
        <v>75</v>
      </c>
      <c r="D95" s="3">
        <v>12</v>
      </c>
      <c r="E95" s="3" t="str">
        <f t="shared" si="10"/>
        <v>0x0C</v>
      </c>
      <c r="F95" s="3" t="s">
        <v>87</v>
      </c>
      <c r="G95" s="3">
        <f t="shared" si="12"/>
        <v>92</v>
      </c>
      <c r="H95" s="3" t="str">
        <f t="shared" si="13"/>
        <v>0x5C</v>
      </c>
      <c r="J95" s="3">
        <f t="shared" si="14"/>
        <v>23552</v>
      </c>
      <c r="K95" s="3" t="str">
        <f t="shared" si="15"/>
        <v>0x5C00</v>
      </c>
    </row>
    <row r="96" spans="1:11" x14ac:dyDescent="0.25">
      <c r="A96" s="3">
        <v>5</v>
      </c>
      <c r="B96" s="3" t="str">
        <f t="shared" si="11"/>
        <v>0x05</v>
      </c>
      <c r="C96" s="3" t="s">
        <v>75</v>
      </c>
      <c r="D96" s="3">
        <v>13</v>
      </c>
      <c r="E96" s="3" t="str">
        <f t="shared" si="10"/>
        <v>0x0D</v>
      </c>
      <c r="F96" s="3" t="s">
        <v>88</v>
      </c>
      <c r="G96" s="3">
        <f t="shared" si="12"/>
        <v>93</v>
      </c>
      <c r="H96" s="3" t="str">
        <f t="shared" si="13"/>
        <v>0x5D</v>
      </c>
      <c r="J96" s="3">
        <f t="shared" si="14"/>
        <v>23808</v>
      </c>
      <c r="K96" s="3" t="str">
        <f t="shared" si="15"/>
        <v>0x5D00</v>
      </c>
    </row>
    <row r="97" spans="1:11" x14ac:dyDescent="0.25">
      <c r="A97" s="3">
        <v>5</v>
      </c>
      <c r="B97" s="3" t="str">
        <f t="shared" si="11"/>
        <v>0x05</v>
      </c>
      <c r="C97" s="3" t="s">
        <v>75</v>
      </c>
      <c r="D97" s="3">
        <v>14</v>
      </c>
      <c r="E97" s="3" t="str">
        <f t="shared" si="10"/>
        <v>0x0E</v>
      </c>
      <c r="F97" s="3" t="s">
        <v>89</v>
      </c>
      <c r="G97" s="3">
        <f t="shared" si="12"/>
        <v>94</v>
      </c>
      <c r="H97" s="3" t="str">
        <f t="shared" si="13"/>
        <v>0x5E</v>
      </c>
      <c r="J97" s="3">
        <f t="shared" si="14"/>
        <v>24064</v>
      </c>
      <c r="K97" s="3" t="str">
        <f t="shared" si="15"/>
        <v>0x5E00</v>
      </c>
    </row>
    <row r="98" spans="1:11" x14ac:dyDescent="0.25">
      <c r="A98" s="3">
        <v>5</v>
      </c>
      <c r="B98" s="3" t="str">
        <f t="shared" si="11"/>
        <v>0x05</v>
      </c>
      <c r="C98" s="3" t="s">
        <v>75</v>
      </c>
      <c r="D98" s="3">
        <v>15</v>
      </c>
      <c r="E98" s="3" t="str">
        <f t="shared" si="10"/>
        <v>0x0F</v>
      </c>
      <c r="F98" s="3" t="s">
        <v>90</v>
      </c>
      <c r="G98" s="3">
        <f t="shared" si="12"/>
        <v>95</v>
      </c>
      <c r="H98" s="3" t="str">
        <f t="shared" si="13"/>
        <v>0x5F</v>
      </c>
      <c r="J98" s="3">
        <f t="shared" si="14"/>
        <v>24320</v>
      </c>
      <c r="K98" s="3" t="str">
        <f t="shared" si="15"/>
        <v>0x5F00</v>
      </c>
    </row>
  </sheetData>
  <phoneticPr fontId="2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8EDE-D440-4D8D-B86F-6C0D1169E910}">
  <dimension ref="B4:L12"/>
  <sheetViews>
    <sheetView workbookViewId="0">
      <selection activeCell="J5" sqref="J5:J12"/>
    </sheetView>
  </sheetViews>
  <sheetFormatPr defaultRowHeight="15" x14ac:dyDescent="0.25"/>
  <cols>
    <col min="2" max="12" width="9.140625" style="3"/>
  </cols>
  <sheetData>
    <row r="4" spans="2:12" s="1" customFormat="1" x14ac:dyDescent="0.25">
      <c r="B4" s="2" t="s">
        <v>62</v>
      </c>
      <c r="C4" s="2"/>
      <c r="D4" s="2" t="s">
        <v>63</v>
      </c>
      <c r="E4" s="2"/>
      <c r="F4" s="2" t="s">
        <v>64</v>
      </c>
      <c r="G4" s="2"/>
      <c r="H4" s="2" t="s">
        <v>66</v>
      </c>
      <c r="I4" s="2"/>
      <c r="J4" s="2" t="s">
        <v>65</v>
      </c>
      <c r="K4" s="2"/>
      <c r="L4" s="2"/>
    </row>
    <row r="5" spans="2:12" x14ac:dyDescent="0.25">
      <c r="B5" s="3">
        <v>0</v>
      </c>
      <c r="D5" s="3">
        <v>0</v>
      </c>
      <c r="F5" s="3">
        <v>76</v>
      </c>
      <c r="H5" s="3">
        <f>B5*16+D5</f>
        <v>0</v>
      </c>
      <c r="J5" s="3">
        <f>H5*256+F5</f>
        <v>76</v>
      </c>
    </row>
    <row r="6" spans="2:12" x14ac:dyDescent="0.25">
      <c r="B6" s="3">
        <v>0</v>
      </c>
      <c r="D6" s="3">
        <v>1</v>
      </c>
      <c r="F6" s="3">
        <v>77</v>
      </c>
      <c r="H6" s="3">
        <f t="shared" ref="H6:H12" si="0">B6*16+D6</f>
        <v>1</v>
      </c>
      <c r="J6" s="3">
        <f t="shared" ref="J6:J12" si="1">H6*256+F6</f>
        <v>333</v>
      </c>
    </row>
    <row r="7" spans="2:12" x14ac:dyDescent="0.25">
      <c r="B7" s="3">
        <v>0</v>
      </c>
      <c r="D7" s="3">
        <v>2</v>
      </c>
      <c r="F7" s="3">
        <v>78</v>
      </c>
      <c r="H7" s="3">
        <f t="shared" si="0"/>
        <v>2</v>
      </c>
      <c r="J7" s="3">
        <f t="shared" si="1"/>
        <v>590</v>
      </c>
    </row>
    <row r="8" spans="2:12" x14ac:dyDescent="0.25">
      <c r="B8" s="3">
        <v>0</v>
      </c>
      <c r="D8" s="3">
        <v>3</v>
      </c>
      <c r="F8" s="3">
        <v>79</v>
      </c>
      <c r="H8" s="3">
        <f t="shared" si="0"/>
        <v>3</v>
      </c>
      <c r="J8" s="3">
        <f t="shared" si="1"/>
        <v>847</v>
      </c>
    </row>
    <row r="9" spans="2:12" x14ac:dyDescent="0.25">
      <c r="B9" s="3">
        <v>1</v>
      </c>
      <c r="D9" s="3">
        <v>0</v>
      </c>
      <c r="F9" s="3">
        <v>80</v>
      </c>
      <c r="H9" s="3">
        <f t="shared" si="0"/>
        <v>16</v>
      </c>
      <c r="J9" s="3">
        <f t="shared" si="1"/>
        <v>4176</v>
      </c>
    </row>
    <row r="10" spans="2:12" x14ac:dyDescent="0.25">
      <c r="B10" s="3">
        <v>1</v>
      </c>
      <c r="D10" s="3">
        <v>1</v>
      </c>
      <c r="F10" s="3">
        <v>81</v>
      </c>
      <c r="H10" s="3">
        <f t="shared" si="0"/>
        <v>17</v>
      </c>
      <c r="J10" s="3">
        <f t="shared" si="1"/>
        <v>4433</v>
      </c>
    </row>
    <row r="11" spans="2:12" x14ac:dyDescent="0.25">
      <c r="B11" s="3">
        <v>1</v>
      </c>
      <c r="D11" s="3">
        <v>2</v>
      </c>
      <c r="F11" s="3">
        <v>83</v>
      </c>
      <c r="H11" s="3">
        <f t="shared" si="0"/>
        <v>18</v>
      </c>
      <c r="J11" s="3">
        <f t="shared" si="1"/>
        <v>4691</v>
      </c>
    </row>
    <row r="12" spans="2:12" x14ac:dyDescent="0.25">
      <c r="B12" s="3">
        <v>1</v>
      </c>
      <c r="D12" s="3">
        <v>3</v>
      </c>
      <c r="F12" s="3">
        <v>84</v>
      </c>
      <c r="H12" s="3">
        <f t="shared" si="0"/>
        <v>19</v>
      </c>
      <c r="J12" s="3">
        <f t="shared" si="1"/>
        <v>4948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Locke - Personal</dc:creator>
  <cp:lastModifiedBy>Nick Locke</cp:lastModifiedBy>
  <cp:lastPrinted>2026-09-12T19:07:58Z</cp:lastPrinted>
  <dcterms:created xsi:type="dcterms:W3CDTF">2015-06-05T18:17:20Z</dcterms:created>
  <dcterms:modified xsi:type="dcterms:W3CDTF">2026-09-29T11:29:20Z</dcterms:modified>
</cp:coreProperties>
</file>